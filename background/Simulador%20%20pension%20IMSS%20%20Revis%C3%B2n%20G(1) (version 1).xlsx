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showObjects="placeholders"/>
  <mc:AlternateContent xmlns:mc="http://schemas.openxmlformats.org/markup-compatibility/2006">
    <mc:Choice Requires="x15">
      <x15ac:absPath xmlns:x15ac="http://schemas.microsoft.com/office/spreadsheetml/2010/11/ac" url="E:\Tramites de Pensiones\fundamento ley imss 73 y 97\carlos andres\"/>
    </mc:Choice>
  </mc:AlternateContent>
  <xr:revisionPtr revIDLastSave="0" documentId="8_{9205D0CA-97C2-4725-9C8A-5E96B79087F3}" xr6:coauthVersionLast="47" xr6:coauthVersionMax="47" xr10:uidLastSave="{00000000-0000-0000-0000-000000000000}"/>
  <bookViews>
    <workbookView showHorizontalScroll="0" showVerticalScroll="0" showSheetTabs="0" xWindow="-90" yWindow="-90" windowWidth="19380" windowHeight="10380" xr2:uid="{00000000-000D-0000-FFFF-FFFF00000000}"/>
  </bookViews>
  <sheets>
    <sheet name="Calculo Pension" sheetId="1" r:id="rId1"/>
  </sheets>
  <definedNames>
    <definedName name="_xlnm.Print_Area" localSheetId="0">'Calculo Pension'!$C$1:$AA$22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P12" i="1" l="1"/>
  <c r="BP13" i="1"/>
  <c r="BP14" i="1"/>
  <c r="BP15" i="1"/>
  <c r="BP16" i="1"/>
  <c r="BP17" i="1"/>
  <c r="BP18" i="1"/>
  <c r="BP19" i="1"/>
  <c r="BP20" i="1"/>
  <c r="BP21" i="1"/>
  <c r="BP22" i="1"/>
  <c r="BP23" i="1"/>
  <c r="BP24" i="1"/>
  <c r="BP25" i="1"/>
  <c r="BP26" i="1"/>
  <c r="BP27" i="1"/>
  <c r="BP28" i="1"/>
  <c r="BP29" i="1"/>
  <c r="BP30" i="1"/>
  <c r="BP31" i="1"/>
  <c r="BP33" i="1"/>
  <c r="BP34" i="1"/>
  <c r="BP35" i="1"/>
  <c r="BP36" i="1"/>
  <c r="BP37" i="1"/>
  <c r="BP38" i="1"/>
  <c r="BP39" i="1"/>
  <c r="BP40" i="1"/>
  <c r="BP41" i="1"/>
  <c r="BP42" i="1"/>
  <c r="BP43" i="1"/>
  <c r="BP44" i="1"/>
  <c r="BP45" i="1"/>
  <c r="BP46" i="1"/>
  <c r="BP47" i="1"/>
  <c r="BP48" i="1"/>
  <c r="BP49" i="1"/>
  <c r="BP50" i="1"/>
  <c r="BP51" i="1"/>
  <c r="BP52" i="1"/>
  <c r="BP53" i="1"/>
  <c r="BP54" i="1"/>
  <c r="BP55" i="1"/>
  <c r="BP56" i="1"/>
  <c r="BP57" i="1"/>
  <c r="BP58" i="1"/>
  <c r="BP59" i="1"/>
  <c r="BP60" i="1"/>
  <c r="BP61" i="1"/>
  <c r="BP62" i="1"/>
  <c r="BP63" i="1"/>
  <c r="BP64" i="1"/>
  <c r="BP65" i="1"/>
  <c r="BP66" i="1"/>
  <c r="BP67" i="1"/>
  <c r="BP68" i="1"/>
  <c r="BP69" i="1"/>
  <c r="BP70" i="1"/>
  <c r="BP71" i="1"/>
  <c r="BP72" i="1"/>
  <c r="BP73" i="1"/>
  <c r="BP74" i="1"/>
  <c r="BP75" i="1"/>
  <c r="BP76" i="1"/>
  <c r="BP77" i="1"/>
  <c r="BP78" i="1"/>
  <c r="BH79" i="1"/>
  <c r="BH80" i="1"/>
  <c r="BH81" i="1"/>
  <c r="BI80" i="1" s="1"/>
  <c r="BK80" i="1"/>
  <c r="BK81" i="1"/>
  <c r="F23" i="1"/>
  <c r="BM12" i="1"/>
  <c r="BN12" i="1" s="1"/>
  <c r="BM13" i="1"/>
  <c r="BN13" i="1" s="1"/>
  <c r="BM14" i="1"/>
  <c r="BN14" i="1" s="1"/>
  <c r="BM15" i="1"/>
  <c r="BN15" i="1" s="1"/>
  <c r="BM16" i="1"/>
  <c r="BN16" i="1" s="1"/>
  <c r="BM17" i="1"/>
  <c r="BN17" i="1" s="1"/>
  <c r="BM18" i="1"/>
  <c r="BN18" i="1" s="1"/>
  <c r="BM19" i="1"/>
  <c r="BN19" i="1" s="1"/>
  <c r="BM20" i="1"/>
  <c r="BN20" i="1" s="1"/>
  <c r="BM21" i="1"/>
  <c r="BN21" i="1" s="1"/>
  <c r="BM22" i="1"/>
  <c r="BN22" i="1" s="1"/>
  <c r="BM23" i="1"/>
  <c r="BN23" i="1" s="1"/>
  <c r="BM24" i="1"/>
  <c r="BN24" i="1" s="1"/>
  <c r="BM25" i="1"/>
  <c r="BN25" i="1" s="1"/>
  <c r="BM26" i="1"/>
  <c r="BN26" i="1" s="1"/>
  <c r="BM27" i="1"/>
  <c r="BN27" i="1" s="1"/>
  <c r="BM28" i="1"/>
  <c r="BN28" i="1" s="1"/>
  <c r="BM29" i="1"/>
  <c r="BN29" i="1" s="1"/>
  <c r="BM30" i="1"/>
  <c r="BN30" i="1" s="1"/>
  <c r="BM31" i="1"/>
  <c r="BN31" i="1" s="1"/>
  <c r="BM33" i="1"/>
  <c r="BN33" i="1" s="1"/>
  <c r="BM34" i="1"/>
  <c r="BN34" i="1" s="1"/>
  <c r="BM35" i="1"/>
  <c r="BN35" i="1" s="1"/>
  <c r="BM36" i="1"/>
  <c r="BN36" i="1" s="1"/>
  <c r="BM37" i="1"/>
  <c r="BN37" i="1" s="1"/>
  <c r="BM38" i="1"/>
  <c r="BN38" i="1" s="1"/>
  <c r="BM39" i="1"/>
  <c r="BN39" i="1" s="1"/>
  <c r="BM40" i="1"/>
  <c r="BN40" i="1" s="1"/>
  <c r="BM41" i="1"/>
  <c r="BN41" i="1" s="1"/>
  <c r="BM42" i="1"/>
  <c r="BN42" i="1" s="1"/>
  <c r="BM43" i="1"/>
  <c r="BN43" i="1" s="1"/>
  <c r="BM44" i="1"/>
  <c r="BN44" i="1" s="1"/>
  <c r="BM45" i="1"/>
  <c r="BN45" i="1" s="1"/>
  <c r="BM46" i="1"/>
  <c r="BN46" i="1" s="1"/>
  <c r="BM47" i="1"/>
  <c r="BN47" i="1" s="1"/>
  <c r="BM48" i="1"/>
  <c r="BN48" i="1" s="1"/>
  <c r="BM49" i="1"/>
  <c r="BN49" i="1" s="1"/>
  <c r="BM50" i="1"/>
  <c r="BN50" i="1" s="1"/>
  <c r="BM51" i="1"/>
  <c r="BN51" i="1" s="1"/>
  <c r="BM52" i="1"/>
  <c r="BN52" i="1" s="1"/>
  <c r="BM53" i="1"/>
  <c r="BN53" i="1" s="1"/>
  <c r="BM54" i="1"/>
  <c r="BN54" i="1" s="1"/>
  <c r="BM55" i="1"/>
  <c r="BN55" i="1" s="1"/>
  <c r="BM56" i="1"/>
  <c r="BN56" i="1" s="1"/>
  <c r="BM57" i="1"/>
  <c r="BN57" i="1" s="1"/>
  <c r="BM58" i="1"/>
  <c r="BN58" i="1" s="1"/>
  <c r="BM59" i="1"/>
  <c r="BN59" i="1" s="1"/>
  <c r="BM60" i="1"/>
  <c r="BN60" i="1" s="1"/>
  <c r="BM61" i="1"/>
  <c r="BN61" i="1" s="1"/>
  <c r="BM62" i="1"/>
  <c r="BN62" i="1" s="1"/>
  <c r="BM63" i="1"/>
  <c r="BN63" i="1" s="1"/>
  <c r="BM64" i="1"/>
  <c r="BN64" i="1" s="1"/>
  <c r="BM65" i="1"/>
  <c r="BN65" i="1" s="1"/>
  <c r="BM66" i="1"/>
  <c r="BN66" i="1" s="1"/>
  <c r="BM67" i="1"/>
  <c r="BN67" i="1" s="1"/>
  <c r="BM68" i="1"/>
  <c r="BN68" i="1" s="1"/>
  <c r="BM69" i="1"/>
  <c r="BN69" i="1" s="1"/>
  <c r="BM70" i="1"/>
  <c r="BN70" i="1" s="1"/>
  <c r="BM71" i="1"/>
  <c r="BN71" i="1" s="1"/>
  <c r="BM72" i="1"/>
  <c r="BN72" i="1" s="1"/>
  <c r="BM73" i="1"/>
  <c r="BN73" i="1" s="1"/>
  <c r="BM74" i="1"/>
  <c r="BN74" i="1" s="1"/>
  <c r="BM75" i="1"/>
  <c r="BN75" i="1" s="1"/>
  <c r="BM76" i="1"/>
  <c r="BN76" i="1" s="1"/>
  <c r="BM77" i="1"/>
  <c r="BN77" i="1" s="1"/>
  <c r="BM78" i="1"/>
  <c r="BN78" i="1" s="1"/>
  <c r="BK79" i="1"/>
  <c r="BJ79" i="1"/>
  <c r="BJ80" i="1"/>
  <c r="BL80" i="1" s="1"/>
  <c r="BJ81" i="1"/>
  <c r="BK82" i="1"/>
  <c r="BK83" i="1"/>
  <c r="BK84" i="1" s="1"/>
  <c r="BK85" i="1" s="1"/>
  <c r="BK86" i="1" s="1"/>
  <c r="BK87" i="1" s="1"/>
  <c r="BK88" i="1" s="1"/>
  <c r="BK89" i="1" s="1"/>
  <c r="BK90" i="1" s="1"/>
  <c r="BK91" i="1" s="1"/>
  <c r="BK92" i="1" s="1"/>
  <c r="BK93" i="1" s="1"/>
  <c r="BK94" i="1" s="1"/>
  <c r="BK95" i="1" s="1"/>
  <c r="BK96" i="1" s="1"/>
  <c r="BK97" i="1" s="1"/>
  <c r="BK98" i="1" s="1"/>
  <c r="BK99" i="1" s="1"/>
  <c r="BK100" i="1" s="1"/>
  <c r="BK101" i="1" s="1"/>
  <c r="BK102" i="1" s="1"/>
  <c r="BK103" i="1" s="1"/>
  <c r="BK104" i="1" s="1"/>
  <c r="BK105" i="1" s="1"/>
  <c r="BK106" i="1" s="1"/>
  <c r="BK107" i="1" s="1"/>
  <c r="BK108" i="1" s="1"/>
  <c r="BK109" i="1" s="1"/>
  <c r="BK110" i="1" s="1"/>
  <c r="BK111" i="1" s="1"/>
  <c r="BK112" i="1" s="1"/>
  <c r="BK113" i="1" s="1"/>
  <c r="BK114" i="1" s="1"/>
  <c r="BK115" i="1" s="1"/>
  <c r="BK116" i="1" s="1"/>
  <c r="BK117" i="1" s="1"/>
  <c r="BK118" i="1" s="1"/>
  <c r="BK119" i="1" s="1"/>
  <c r="BK120" i="1" s="1"/>
  <c r="BK121" i="1" s="1"/>
  <c r="BK122" i="1" s="1"/>
  <c r="BK123" i="1" s="1"/>
  <c r="BK124" i="1" s="1"/>
  <c r="BK125" i="1" s="1"/>
  <c r="BK126" i="1" s="1"/>
  <c r="BK127" i="1" s="1"/>
  <c r="BK128" i="1" s="1"/>
  <c r="BK129" i="1" s="1"/>
  <c r="BK130" i="1" s="1"/>
  <c r="BK131" i="1" s="1"/>
  <c r="BK132" i="1" s="1"/>
  <c r="BK133" i="1" s="1"/>
  <c r="BK134" i="1" s="1"/>
  <c r="BK135" i="1" s="1"/>
  <c r="BK136" i="1" s="1"/>
  <c r="BK137" i="1" s="1"/>
  <c r="BK138" i="1" s="1"/>
  <c r="BK139" i="1" s="1"/>
  <c r="BK140" i="1" s="1"/>
  <c r="BL12" i="1"/>
  <c r="BL13" i="1"/>
  <c r="BL14" i="1"/>
  <c r="BL15" i="1"/>
  <c r="BL16" i="1"/>
  <c r="BL17" i="1"/>
  <c r="BL18" i="1"/>
  <c r="BL19" i="1"/>
  <c r="BL20" i="1"/>
  <c r="BL21" i="1"/>
  <c r="BL22" i="1"/>
  <c r="BL23" i="1"/>
  <c r="BL24" i="1"/>
  <c r="BL25" i="1"/>
  <c r="BL26" i="1"/>
  <c r="BL27" i="1"/>
  <c r="BL28" i="1"/>
  <c r="BL29" i="1"/>
  <c r="BL30" i="1"/>
  <c r="BL31" i="1"/>
  <c r="BL33" i="1"/>
  <c r="BL34" i="1"/>
  <c r="BL35" i="1"/>
  <c r="BL36" i="1"/>
  <c r="BL37" i="1"/>
  <c r="BL38" i="1"/>
  <c r="BL39" i="1"/>
  <c r="BL40" i="1"/>
  <c r="BL41" i="1"/>
  <c r="BL42" i="1"/>
  <c r="BL43" i="1"/>
  <c r="BL44" i="1"/>
  <c r="BL45" i="1"/>
  <c r="BL46" i="1"/>
  <c r="BL47" i="1"/>
  <c r="BL48" i="1"/>
  <c r="BL49" i="1"/>
  <c r="BL50" i="1"/>
  <c r="BL51" i="1"/>
  <c r="BL52" i="1"/>
  <c r="BL53" i="1"/>
  <c r="BL54" i="1"/>
  <c r="BL55" i="1"/>
  <c r="BL56" i="1"/>
  <c r="BL57" i="1"/>
  <c r="BL58" i="1"/>
  <c r="BL59" i="1"/>
  <c r="BL60" i="1"/>
  <c r="BL61" i="1"/>
  <c r="BL62" i="1"/>
  <c r="BL63" i="1"/>
  <c r="BL64" i="1"/>
  <c r="BL65" i="1"/>
  <c r="BL66" i="1"/>
  <c r="BL67" i="1"/>
  <c r="BL68" i="1"/>
  <c r="BL69" i="1"/>
  <c r="BL70" i="1"/>
  <c r="BL71" i="1"/>
  <c r="BL72" i="1"/>
  <c r="BL73" i="1"/>
  <c r="BL74" i="1"/>
  <c r="BL75" i="1"/>
  <c r="BL76" i="1"/>
  <c r="BL77" i="1"/>
  <c r="BL78" i="1"/>
  <c r="F17" i="1"/>
  <c r="BC88" i="1"/>
  <c r="BA31" i="1"/>
  <c r="BA24" i="1"/>
  <c r="BA23" i="1"/>
  <c r="BA22" i="1"/>
  <c r="BA21" i="1"/>
  <c r="BA20" i="1"/>
  <c r="BA16" i="1"/>
  <c r="BA15" i="1"/>
  <c r="BA14" i="1"/>
  <c r="BA13" i="1"/>
  <c r="Q9" i="1"/>
  <c r="P9" i="1"/>
  <c r="BX12" i="1"/>
  <c r="BW12" i="1" s="1"/>
  <c r="O9" i="1" s="1"/>
  <c r="C17" i="1"/>
  <c r="B17" i="1"/>
  <c r="F22" i="1"/>
  <c r="BQ49" i="1"/>
  <c r="BQ48" i="1" s="1"/>
  <c r="BQ47" i="1" s="1"/>
  <c r="BQ46" i="1" s="1"/>
  <c r="BQ45" i="1" s="1"/>
  <c r="BQ44" i="1" s="1"/>
  <c r="BQ43" i="1" s="1"/>
  <c r="BQ42" i="1" s="1"/>
  <c r="BQ41" i="1" s="1"/>
  <c r="BQ40" i="1" s="1"/>
  <c r="BQ39" i="1" s="1"/>
  <c r="BQ38" i="1" s="1"/>
  <c r="BQ37" i="1" s="1"/>
  <c r="BQ36" i="1" s="1"/>
  <c r="BQ35" i="1" s="1"/>
  <c r="BQ34" i="1" s="1"/>
  <c r="BQ33" i="1" s="1"/>
  <c r="BQ31" i="1" s="1"/>
  <c r="BQ30" i="1" s="1"/>
  <c r="BQ29" i="1" s="1"/>
  <c r="BQ28" i="1" s="1"/>
  <c r="BQ27" i="1" s="1"/>
  <c r="BQ26" i="1" s="1"/>
  <c r="BQ25" i="1" s="1"/>
  <c r="BQ24" i="1" s="1"/>
  <c r="BQ23" i="1" s="1"/>
  <c r="BQ22" i="1" s="1"/>
  <c r="BQ21" i="1" s="1"/>
  <c r="BQ20" i="1" s="1"/>
  <c r="BQ19" i="1" s="1"/>
  <c r="BQ18" i="1" s="1"/>
  <c r="BQ17" i="1" s="1"/>
  <c r="BQ16" i="1" s="1"/>
  <c r="BQ15" i="1" s="1"/>
  <c r="BQ14" i="1" s="1"/>
  <c r="BQ13" i="1" s="1"/>
  <c r="BQ12" i="1" s="1"/>
  <c r="F21" i="1"/>
  <c r="F19" i="1"/>
  <c r="BJ82" i="1"/>
  <c r="BJ83" i="1"/>
  <c r="BJ84" i="1" s="1"/>
  <c r="BH82" i="1"/>
  <c r="BI81" i="1" s="1"/>
  <c r="BH83" i="1"/>
  <c r="BI82" i="1" s="1"/>
  <c r="BL82" i="1" l="1"/>
  <c r="BP82" i="1"/>
  <c r="BL83" i="1"/>
  <c r="BM82" i="1"/>
  <c r="BO82" i="1" s="1"/>
  <c r="BP80" i="1"/>
  <c r="BM81" i="1"/>
  <c r="BM80" i="1"/>
  <c r="BO80" i="1" s="1"/>
  <c r="BL79" i="1"/>
  <c r="BL81" i="1"/>
  <c r="BI79" i="1"/>
  <c r="BM79" i="1" s="1"/>
  <c r="BN79" i="1" s="1"/>
  <c r="BO17" i="1"/>
  <c r="BO42" i="1"/>
  <c r="BO34" i="1"/>
  <c r="BO74" i="1"/>
  <c r="BO50" i="1"/>
  <c r="BO58" i="1"/>
  <c r="BO25" i="1"/>
  <c r="BO76" i="1"/>
  <c r="BO60" i="1"/>
  <c r="BO44" i="1"/>
  <c r="BO27" i="1"/>
  <c r="BO66" i="1"/>
  <c r="BO68" i="1"/>
  <c r="BO52" i="1"/>
  <c r="BO36" i="1"/>
  <c r="BO19" i="1"/>
  <c r="BO78" i="1"/>
  <c r="BO70" i="1"/>
  <c r="BO62" i="1"/>
  <c r="BO54" i="1"/>
  <c r="BO46" i="1"/>
  <c r="BO38" i="1"/>
  <c r="BO29" i="1"/>
  <c r="BO21" i="1"/>
  <c r="BO13" i="1"/>
  <c r="BO72" i="1"/>
  <c r="BO64" i="1"/>
  <c r="BO56" i="1"/>
  <c r="BO48" i="1"/>
  <c r="BO40" i="1"/>
  <c r="BO31" i="1"/>
  <c r="BO23" i="1"/>
  <c r="BO15" i="1"/>
  <c r="BP81" i="1"/>
  <c r="BO77" i="1"/>
  <c r="BO75" i="1"/>
  <c r="BO73" i="1"/>
  <c r="BO71" i="1"/>
  <c r="BO69" i="1"/>
  <c r="BO67" i="1"/>
  <c r="BO65" i="1"/>
  <c r="BO63" i="1"/>
  <c r="BO61" i="1"/>
  <c r="BO59" i="1"/>
  <c r="BO57" i="1"/>
  <c r="BO55" i="1"/>
  <c r="BO53" i="1"/>
  <c r="BO51" i="1"/>
  <c r="BO49" i="1"/>
  <c r="BO47" i="1"/>
  <c r="BO45" i="1"/>
  <c r="BO43" i="1"/>
  <c r="BO41" i="1"/>
  <c r="BO39" i="1"/>
  <c r="BO37" i="1"/>
  <c r="BO35" i="1"/>
  <c r="BO33" i="1"/>
  <c r="BO30" i="1"/>
  <c r="BO28" i="1"/>
  <c r="BO26" i="1"/>
  <c r="BO24" i="1"/>
  <c r="BO22" i="1"/>
  <c r="BO20" i="1"/>
  <c r="BO18" i="1"/>
  <c r="BO16" i="1"/>
  <c r="BO14" i="1"/>
  <c r="BO12" i="1"/>
  <c r="BJ85" i="1"/>
  <c r="BL84" i="1"/>
  <c r="BN82" i="1" l="1"/>
  <c r="BP79" i="1"/>
  <c r="BO81" i="1"/>
  <c r="BN80" i="1"/>
  <c r="BO79" i="1"/>
  <c r="BN81" i="1"/>
  <c r="BJ86" i="1"/>
  <c r="BL85" i="1"/>
  <c r="BJ87" i="1" l="1"/>
  <c r="BL86" i="1"/>
  <c r="BL87" i="1" l="1"/>
  <c r="BJ88" i="1"/>
  <c r="BJ89" i="1" l="1"/>
  <c r="BL88" i="1"/>
  <c r="BJ90" i="1" l="1"/>
  <c r="BL89" i="1"/>
  <c r="BJ91" i="1" l="1"/>
  <c r="BL90" i="1"/>
  <c r="BL91" i="1" l="1"/>
  <c r="BJ92" i="1"/>
  <c r="BJ93" i="1" l="1"/>
  <c r="BL92" i="1"/>
  <c r="BJ94" i="1" l="1"/>
  <c r="BL93" i="1"/>
  <c r="BJ95" i="1" l="1"/>
  <c r="BL94" i="1"/>
  <c r="BL95" i="1" l="1"/>
  <c r="BJ96" i="1"/>
  <c r="BJ97" i="1" l="1"/>
  <c r="BL96" i="1"/>
  <c r="BL97" i="1" l="1"/>
  <c r="BJ98" i="1"/>
  <c r="BL98" i="1" l="1"/>
  <c r="BJ99" i="1"/>
  <c r="BL99" i="1" l="1"/>
  <c r="BJ100" i="1"/>
  <c r="BL100" i="1" l="1"/>
  <c r="BJ101" i="1"/>
  <c r="BL101" i="1" l="1"/>
  <c r="BJ102" i="1"/>
  <c r="BL102" i="1" l="1"/>
  <c r="BJ103" i="1"/>
  <c r="BL103" i="1" l="1"/>
  <c r="BJ104" i="1"/>
  <c r="BL104" i="1" l="1"/>
  <c r="BJ105" i="1"/>
  <c r="BL105" i="1" l="1"/>
  <c r="BJ106" i="1"/>
  <c r="BL106" i="1" l="1"/>
  <c r="BJ107" i="1"/>
  <c r="BL107" i="1" l="1"/>
  <c r="BJ108" i="1"/>
  <c r="BL108" i="1" l="1"/>
  <c r="BJ109" i="1"/>
  <c r="BL109" i="1" l="1"/>
  <c r="BJ110" i="1"/>
  <c r="BL110" i="1" l="1"/>
  <c r="BJ111" i="1"/>
  <c r="BL111" i="1" l="1"/>
  <c r="BJ112" i="1"/>
  <c r="BL112" i="1" l="1"/>
  <c r="BJ113" i="1"/>
  <c r="BL113" i="1" l="1"/>
  <c r="BJ114" i="1"/>
  <c r="BL114" i="1" l="1"/>
  <c r="BJ115" i="1"/>
  <c r="BL115" i="1" l="1"/>
  <c r="BJ116" i="1"/>
  <c r="BL116" i="1" l="1"/>
  <c r="BJ117" i="1"/>
  <c r="BL117" i="1" l="1"/>
  <c r="BJ118" i="1"/>
  <c r="BL118" i="1" l="1"/>
  <c r="BJ119" i="1"/>
  <c r="BL119" i="1" l="1"/>
  <c r="BJ120" i="1"/>
  <c r="BL120" i="1" l="1"/>
  <c r="BJ121" i="1"/>
  <c r="BL121" i="1" l="1"/>
  <c r="BJ122" i="1"/>
  <c r="BL122" i="1" l="1"/>
  <c r="BJ123" i="1"/>
  <c r="BL123" i="1" l="1"/>
  <c r="BJ124" i="1"/>
  <c r="BL124" i="1" l="1"/>
  <c r="BJ125" i="1"/>
  <c r="BL125" i="1" l="1"/>
  <c r="BJ126" i="1"/>
  <c r="BL126" i="1" l="1"/>
  <c r="BJ127" i="1"/>
  <c r="BL127" i="1" l="1"/>
  <c r="BJ128" i="1"/>
  <c r="BL128" i="1" l="1"/>
  <c r="BJ129" i="1"/>
  <c r="BL129" i="1" l="1"/>
  <c r="BJ130" i="1"/>
  <c r="BL130" i="1" l="1"/>
  <c r="BJ131" i="1"/>
  <c r="BJ132" i="1" l="1"/>
  <c r="BL131" i="1"/>
  <c r="BL132" i="1" l="1"/>
  <c r="BJ133" i="1"/>
  <c r="BJ134" i="1" l="1"/>
  <c r="BL133" i="1"/>
  <c r="BL134" i="1" l="1"/>
  <c r="BJ135" i="1"/>
  <c r="BJ136" i="1" l="1"/>
  <c r="BL135" i="1"/>
  <c r="BL136" i="1" l="1"/>
  <c r="BJ137" i="1"/>
  <c r="BJ138" i="1" l="1"/>
  <c r="BL137" i="1"/>
  <c r="BL138" i="1" l="1"/>
  <c r="BJ139" i="1"/>
  <c r="BJ140" i="1" l="1"/>
  <c r="BL140" i="1" s="1"/>
  <c r="BL139" i="1"/>
  <c r="BH84" i="1"/>
  <c r="BI83" i="1" l="1"/>
  <c r="BP83" i="1" l="1"/>
  <c r="BM83" i="1"/>
  <c r="BN83" i="1" l="1"/>
  <c r="BO83" i="1"/>
  <c r="BH85" i="1"/>
  <c r="BI84" i="1"/>
  <c r="BM84" i="1" s="1"/>
  <c r="BN84" i="1" s="1"/>
  <c r="BH86" i="1"/>
  <c r="BP84" i="1" l="1"/>
  <c r="BI85" i="1"/>
  <c r="BO84" i="1"/>
  <c r="BM85" i="1" l="1"/>
  <c r="BP85" i="1"/>
  <c r="BO85" i="1" l="1"/>
  <c r="BN85" i="1"/>
  <c r="BH87" i="1"/>
  <c r="BI86" i="1"/>
  <c r="BM86" i="1" s="1"/>
  <c r="BP86" i="1" l="1"/>
  <c r="BO86" i="1"/>
  <c r="BN86" i="1"/>
  <c r="BH88" i="1"/>
  <c r="BI87" i="1" l="1"/>
  <c r="BM87" i="1" l="1"/>
  <c r="BP87" i="1"/>
  <c r="BO87" i="1" l="1"/>
  <c r="BN87" i="1"/>
  <c r="BH89" i="1"/>
  <c r="BI88" i="1" s="1"/>
  <c r="BM88" i="1" s="1"/>
  <c r="BO88" i="1" s="1"/>
  <c r="BH90" i="1"/>
  <c r="BI89" i="1" l="1"/>
  <c r="BN88" i="1"/>
  <c r="BP88" i="1"/>
  <c r="BM89" i="1" l="1"/>
  <c r="BP89" i="1"/>
  <c r="BO89" i="1" l="1"/>
  <c r="BN89" i="1"/>
  <c r="BH91" i="1"/>
  <c r="BI90" i="1"/>
  <c r="BM90" i="1"/>
  <c r="BN90" i="1" s="1"/>
  <c r="BH92" i="1"/>
  <c r="BP90" i="1"/>
  <c r="BO90" i="1" l="1"/>
  <c r="BH93" i="1"/>
  <c r="BI92" i="1" s="1"/>
  <c r="BI91" i="1"/>
  <c r="BM92" i="1" l="1"/>
  <c r="BN92" i="1" s="1"/>
  <c r="BP92" i="1"/>
  <c r="BP91" i="1"/>
  <c r="BM91" i="1"/>
  <c r="BO92" i="1" l="1"/>
  <c r="BN91" i="1"/>
  <c r="BO91" i="1"/>
  <c r="BH94" i="1"/>
  <c r="BI93" i="1" s="1"/>
  <c r="BM93" i="1" s="1"/>
  <c r="BO93" i="1" s="1"/>
  <c r="BP93" i="1"/>
  <c r="BN93" i="1" l="1"/>
  <c r="BH95" i="1" l="1"/>
  <c r="BI94" i="1" s="1"/>
  <c r="BP94" i="1"/>
  <c r="BM94" i="1"/>
  <c r="BN94" i="1" l="1"/>
  <c r="BO94" i="1"/>
  <c r="BI95" i="1"/>
  <c r="BH96" i="1" s="1"/>
  <c r="BM95" i="1"/>
  <c r="BP95" i="1" l="1"/>
  <c r="BI96" i="1"/>
  <c r="BH97" i="1" s="1"/>
  <c r="BN95" i="1"/>
  <c r="BO95" i="1"/>
  <c r="BM96" i="1" l="1"/>
  <c r="BO96" i="1" s="1"/>
  <c r="BI97" i="1"/>
  <c r="BH98" i="1" s="1"/>
  <c r="BM97" i="1"/>
  <c r="BP96" i="1"/>
  <c r="BN96" i="1" l="1"/>
  <c r="BN97" i="1"/>
  <c r="BO97" i="1"/>
  <c r="BI98" i="1"/>
  <c r="BH99" i="1" s="1"/>
  <c r="BM98" i="1"/>
  <c r="BP97" i="1"/>
  <c r="BN98" i="1" l="1"/>
  <c r="BO98" i="1"/>
  <c r="BP98" i="1"/>
  <c r="BI99" i="1"/>
  <c r="BH100" i="1" s="1"/>
  <c r="BM99" i="1" l="1"/>
  <c r="BO99" i="1" s="1"/>
  <c r="BI100" i="1"/>
  <c r="BH101" i="1" s="1"/>
  <c r="BM100" i="1"/>
  <c r="BP100" i="1"/>
  <c r="BP99" i="1"/>
  <c r="BN99" i="1" l="1"/>
  <c r="BN100" i="1"/>
  <c r="BO100" i="1"/>
  <c r="BI101" i="1"/>
  <c r="BH102" i="1" s="1"/>
  <c r="BM101" i="1"/>
  <c r="BP101" i="1" l="1"/>
  <c r="BO101" i="1"/>
  <c r="BN101" i="1"/>
  <c r="BI102" i="1"/>
  <c r="BH103" i="1" s="1"/>
  <c r="BM102" i="1"/>
  <c r="BN102" i="1" l="1"/>
  <c r="BO102" i="1"/>
  <c r="BI103" i="1"/>
  <c r="BH104" i="1" s="1"/>
  <c r="BM103" i="1"/>
  <c r="BP102" i="1"/>
  <c r="BI104" i="1" l="1"/>
  <c r="BH105" i="1" s="1"/>
  <c r="BM104" i="1"/>
  <c r="BN103" i="1"/>
  <c r="BO103" i="1"/>
  <c r="BP103" i="1"/>
  <c r="BI105" i="1" l="1"/>
  <c r="BH106" i="1" s="1"/>
  <c r="BM105" i="1"/>
  <c r="BP105" i="1"/>
  <c r="BN104" i="1"/>
  <c r="BO104" i="1"/>
  <c r="BP104" i="1"/>
  <c r="BN105" i="1" l="1"/>
  <c r="BO105" i="1"/>
  <c r="BI106" i="1"/>
  <c r="BH107" i="1" s="1"/>
  <c r="BM106" i="1"/>
  <c r="BN106" i="1" l="1"/>
  <c r="BO106" i="1"/>
  <c r="BP106" i="1"/>
  <c r="BI107" i="1"/>
  <c r="BH108" i="1" s="1"/>
  <c r="BI108" i="1" l="1"/>
  <c r="BH109" i="1" s="1"/>
  <c r="BM108" i="1"/>
  <c r="BP107" i="1"/>
  <c r="BM107" i="1"/>
  <c r="BP108" i="1" l="1"/>
  <c r="BO107" i="1"/>
  <c r="BN107" i="1"/>
  <c r="BN108" i="1"/>
  <c r="BO108" i="1"/>
  <c r="BI109" i="1"/>
  <c r="BH110" i="1" s="1"/>
  <c r="BI110" i="1" l="1"/>
  <c r="BH111" i="1" s="1"/>
  <c r="BM110" i="1"/>
  <c r="BP109" i="1"/>
  <c r="BM109" i="1"/>
  <c r="BN110" i="1" l="1"/>
  <c r="BO110" i="1"/>
  <c r="BP110" i="1"/>
  <c r="BO109" i="1"/>
  <c r="BN109" i="1"/>
  <c r="BI111" i="1"/>
  <c r="BH112" i="1" s="1"/>
  <c r="BM111" i="1"/>
  <c r="BN111" i="1" l="1"/>
  <c r="BO111" i="1"/>
  <c r="BI112" i="1"/>
  <c r="BH113" i="1" s="1"/>
  <c r="BM112" i="1"/>
  <c r="BP111" i="1"/>
  <c r="BN112" i="1" l="1"/>
  <c r="BO112" i="1"/>
  <c r="BP112" i="1"/>
  <c r="BI113" i="1"/>
  <c r="BH114" i="1" s="1"/>
  <c r="BM113" i="1"/>
  <c r="BP113" i="1" l="1"/>
  <c r="BN113" i="1"/>
  <c r="BO113" i="1"/>
  <c r="BI114" i="1"/>
  <c r="BH115" i="1" s="1"/>
  <c r="BM114" i="1"/>
  <c r="BN114" i="1" l="1"/>
  <c r="BO114" i="1"/>
  <c r="BP114" i="1"/>
  <c r="BI115" i="1"/>
  <c r="BH116" i="1" s="1"/>
  <c r="BP115" i="1" l="1"/>
  <c r="BI116" i="1"/>
  <c r="BH117" i="1" s="1"/>
  <c r="BM116" i="1"/>
  <c r="BM115" i="1"/>
  <c r="BP116" i="1" l="1"/>
  <c r="K9" i="1" s="1"/>
  <c r="BN116" i="1"/>
  <c r="BO116" i="1"/>
  <c r="BI117" i="1"/>
  <c r="BH118" i="1" s="1"/>
  <c r="BM117" i="1"/>
  <c r="BO115" i="1"/>
  <c r="BN115" i="1"/>
  <c r="BO117" i="1" l="1"/>
  <c r="BN117" i="1"/>
  <c r="BP117" i="1"/>
  <c r="BI118" i="1"/>
  <c r="BH119" i="1" s="1"/>
  <c r="BM118" i="1"/>
  <c r="BP118" i="1"/>
  <c r="BD33" i="1"/>
  <c r="BD25" i="1"/>
  <c r="BD30" i="1"/>
  <c r="BD22" i="1"/>
  <c r="BD20" i="1"/>
  <c r="BD19" i="1"/>
  <c r="BD31" i="1"/>
  <c r="BD16" i="1"/>
  <c r="BD18" i="1"/>
  <c r="BD21" i="1"/>
  <c r="BD17" i="1"/>
  <c r="BD29" i="1"/>
  <c r="BD11" i="1"/>
  <c r="F12" i="1" s="1"/>
  <c r="BD14" i="1"/>
  <c r="BD24" i="1"/>
  <c r="BD27" i="1"/>
  <c r="BD15" i="1"/>
  <c r="BD28" i="1"/>
  <c r="BD26" i="1"/>
  <c r="BD13" i="1"/>
  <c r="BD23" i="1"/>
  <c r="BD12" i="1"/>
  <c r="F24" i="1"/>
  <c r="F25" i="1"/>
  <c r="BN118" i="1" l="1"/>
  <c r="BO118" i="1"/>
  <c r="BI119" i="1"/>
  <c r="BH120" i="1" s="1"/>
  <c r="BM119" i="1"/>
  <c r="BN119" i="1" l="1"/>
  <c r="BO119" i="1"/>
  <c r="BP119" i="1"/>
  <c r="BI120" i="1"/>
  <c r="BH121" i="1" s="1"/>
  <c r="BM120" i="1"/>
  <c r="BP120" i="1" l="1"/>
  <c r="BN120" i="1"/>
  <c r="BO120" i="1"/>
  <c r="BI121" i="1"/>
  <c r="BH122" i="1" s="1"/>
  <c r="BM121" i="1"/>
  <c r="BP121" i="1" l="1"/>
  <c r="BN121" i="1"/>
  <c r="BO121" i="1"/>
  <c r="BI122" i="1"/>
  <c r="BH123" i="1" s="1"/>
  <c r="BM122" i="1" l="1"/>
  <c r="BN122" i="1" s="1"/>
  <c r="BP122" i="1"/>
  <c r="BI123" i="1"/>
  <c r="BH124" i="1" s="1"/>
  <c r="BM123" i="1" l="1"/>
  <c r="BO123" i="1" s="1"/>
  <c r="BO122" i="1"/>
  <c r="BP123" i="1"/>
  <c r="BI124" i="1"/>
  <c r="BH125" i="1" s="1"/>
  <c r="BN123" i="1" l="1"/>
  <c r="BI125" i="1"/>
  <c r="BH126" i="1" s="1"/>
  <c r="BP124" i="1"/>
  <c r="BM124" i="1"/>
  <c r="BI126" i="1" l="1"/>
  <c r="BH127" i="1" s="1"/>
  <c r="BM126" i="1"/>
  <c r="BP126" i="1"/>
  <c r="BP125" i="1"/>
  <c r="BN124" i="1"/>
  <c r="BO124" i="1"/>
  <c r="BM125" i="1"/>
  <c r="BO125" i="1" l="1"/>
  <c r="BN125" i="1"/>
  <c r="BN126" i="1"/>
  <c r="BO126" i="1"/>
  <c r="BI127" i="1"/>
  <c r="BH128" i="1" s="1"/>
  <c r="BM127" i="1"/>
  <c r="BP127" i="1" l="1"/>
  <c r="BN127" i="1"/>
  <c r="BO127" i="1"/>
  <c r="BI128" i="1"/>
  <c r="BH129" i="1" s="1"/>
  <c r="BI129" i="1" l="1"/>
  <c r="BH130" i="1" s="1"/>
  <c r="BM129" i="1"/>
  <c r="BP129" i="1"/>
  <c r="BM128" i="1"/>
  <c r="BP128" i="1"/>
  <c r="BN129" i="1" l="1"/>
  <c r="BO129" i="1"/>
  <c r="BN128" i="1"/>
  <c r="BO128" i="1"/>
  <c r="BI130" i="1"/>
  <c r="BH131" i="1" s="1"/>
  <c r="BM130" i="1"/>
  <c r="BN130" i="1" l="1"/>
  <c r="BO130" i="1"/>
  <c r="BI131" i="1"/>
  <c r="BH132" i="1" s="1"/>
  <c r="BP130" i="1"/>
  <c r="BI132" i="1" l="1"/>
  <c r="BH133" i="1" s="1"/>
  <c r="BM132" i="1"/>
  <c r="BP131" i="1"/>
  <c r="BM131" i="1"/>
  <c r="BO131" i="1" l="1"/>
  <c r="BN131" i="1"/>
  <c r="BI133" i="1"/>
  <c r="BH134" i="1" s="1"/>
  <c r="BM133" i="1"/>
  <c r="BN132" i="1"/>
  <c r="BO132" i="1"/>
  <c r="BP132" i="1"/>
  <c r="BI134" i="1" l="1"/>
  <c r="BH135" i="1" s="1"/>
  <c r="BM134" i="1"/>
  <c r="BP134" i="1"/>
  <c r="BO133" i="1"/>
  <c r="BN133" i="1"/>
  <c r="BP133" i="1"/>
  <c r="BN134" i="1" l="1"/>
  <c r="BO134" i="1"/>
  <c r="BI135" i="1"/>
  <c r="BH136" i="1" s="1"/>
  <c r="BM135" i="1"/>
  <c r="BP135" i="1" l="1"/>
  <c r="BI136" i="1"/>
  <c r="BH137" i="1" s="1"/>
  <c r="BM136" i="1"/>
  <c r="BN135" i="1"/>
  <c r="BO135" i="1"/>
  <c r="BN136" i="1" l="1"/>
  <c r="BO136" i="1"/>
  <c r="BI137" i="1"/>
  <c r="BH138" i="1" s="1"/>
  <c r="BM137" i="1"/>
  <c r="BP136" i="1"/>
  <c r="BP137" i="1" l="1"/>
  <c r="BN137" i="1"/>
  <c r="BO137" i="1"/>
  <c r="BI138" i="1"/>
  <c r="BH139" i="1" s="1"/>
  <c r="BM138" i="1"/>
  <c r="BN138" i="1" l="1"/>
  <c r="BO138" i="1"/>
  <c r="BP138" i="1"/>
  <c r="BI139" i="1"/>
  <c r="BH140" i="1" s="1"/>
  <c r="BP139" i="1" l="1"/>
  <c r="BM139" i="1"/>
  <c r="BI140" i="1"/>
  <c r="BP140" i="1" s="1"/>
  <c r="BM140" i="1"/>
  <c r="BN140" i="1" l="1"/>
  <c r="BN141" i="1" s="1"/>
  <c r="BO140" i="1"/>
  <c r="BO141" i="1" s="1"/>
  <c r="BO139" i="1"/>
  <c r="BN139" i="1"/>
  <c r="BN142" i="1" l="1"/>
  <c r="B15" i="1" s="1"/>
  <c r="F18" i="1" s="1"/>
</calcChain>
</file>

<file path=xl/sharedStrings.xml><?xml version="1.0" encoding="utf-8"?>
<sst xmlns="http://schemas.openxmlformats.org/spreadsheetml/2006/main" count="115" uniqueCount="112">
  <si>
    <t>De</t>
  </si>
  <si>
    <t>A</t>
  </si>
  <si>
    <t xml:space="preserve"> </t>
  </si>
  <si>
    <t>Del</t>
  </si>
  <si>
    <t>Al</t>
  </si>
  <si>
    <t>$</t>
  </si>
  <si>
    <t>Tope</t>
  </si>
  <si>
    <t xml:space="preserve">Salario Tope </t>
  </si>
  <si>
    <t>M  O  N  T  O           M  E  N  S  U  A  L</t>
  </si>
  <si>
    <t>Edad al pensionarse</t>
  </si>
  <si>
    <t>No. de semanas cotizadas</t>
  </si>
  <si>
    <t>Años al Pensionarse</t>
  </si>
  <si>
    <t>% para el Incremento Anual</t>
  </si>
  <si>
    <t xml:space="preserve">Salario diario promedio de las ultimas 250 semanas cotizadas </t>
  </si>
  <si>
    <t>Parte fraccionaria convertida en semanas</t>
  </si>
  <si>
    <t>Mayor que 0  pero menor que 13</t>
  </si>
  <si>
    <t>Mayor ò igual a 13  pero menor ò igual que 26</t>
  </si>
  <si>
    <t>Mayor que 26</t>
  </si>
  <si>
    <t>Criterios de redondeo para el Incremento Anual</t>
  </si>
  <si>
    <t>Entero inmediato anterior</t>
  </si>
  <si>
    <t>Entero inmediato Posterior</t>
  </si>
  <si>
    <t xml:space="preserve"> Media de ambos enteros</t>
  </si>
  <si>
    <t>¡</t>
  </si>
  <si>
    <t>Numero de Ascendientes (Padres)</t>
  </si>
  <si>
    <t>¿ Se tiene esposa ò Concubina ?</t>
  </si>
  <si>
    <t>cesantía en edad avanzada y vejez por LSS 1973</t>
  </si>
  <si>
    <t>Salario mínimo General                      del DF al pensionarse</t>
  </si>
  <si>
    <t>Numero de Hijos menores de 16 Años o entre 16 y 25 que estén estudiando</t>
  </si>
  <si>
    <t>Rango del salario respecto al salario mínimo</t>
  </si>
  <si>
    <t>% para la Cuantía Básica</t>
  </si>
  <si>
    <t xml:space="preserve">% de Pensión </t>
  </si>
  <si>
    <t>Vigencias de los salarios mínimos del D.F.</t>
  </si>
  <si>
    <t>Promedio diario del salario tope de las  últimas 250 semanas</t>
  </si>
  <si>
    <t>diario</t>
  </si>
  <si>
    <t>Redondear al</t>
  </si>
  <si>
    <t>Créditos: Simulador desarrollado por Víctor Alfonso Blanco Ledesma como una aportación no lucrativa para la comunidad Mail: Alfonso _ blanco_7@msn.com Tel: 777 3135463</t>
  </si>
  <si>
    <t>CARGA FAMILIAR</t>
  </si>
  <si>
    <t>Ayudas</t>
  </si>
  <si>
    <t>000</t>
  </si>
  <si>
    <t>010</t>
  </si>
  <si>
    <t>020</t>
  </si>
  <si>
    <t>001</t>
  </si>
  <si>
    <t>011</t>
  </si>
  <si>
    <t>021</t>
  </si>
  <si>
    <t>002</t>
  </si>
  <si>
    <t>012</t>
  </si>
  <si>
    <t>022</t>
  </si>
  <si>
    <r>
      <t xml:space="preserve">Porcentaje de incremento que se aplica por ayuda de </t>
    </r>
    <r>
      <rPr>
        <b/>
        <u/>
        <sz val="12"/>
        <color indexed="16"/>
        <rFont val="Arial"/>
        <family val="2"/>
      </rPr>
      <t>Asgnaciòn Familiar</t>
    </r>
  </si>
  <si>
    <r>
      <t xml:space="preserve">Porcentajede incremento    que se aplica por </t>
    </r>
    <r>
      <rPr>
        <b/>
        <sz val="12"/>
        <color indexed="16"/>
        <rFont val="Arial"/>
        <family val="2"/>
      </rPr>
      <t>Ayuda Asistencial / (Soledad)</t>
    </r>
  </si>
  <si>
    <t>Fecha en la que se da de baja como trabajador</t>
  </si>
  <si>
    <t xml:space="preserve">Incremento a la pensión por decreto del 5 / Ene / 2004 (11%) </t>
  </si>
  <si>
    <t>Dias cotizados en el periodo</t>
  </si>
  <si>
    <t>Semanas cotizadas en el periodo</t>
  </si>
  <si>
    <t>Pago recibido del periodo con el salario tope</t>
  </si>
  <si>
    <t>Periodo de Cotizaciòn</t>
  </si>
  <si>
    <t>030</t>
  </si>
  <si>
    <t>031</t>
  </si>
  <si>
    <t>032</t>
  </si>
  <si>
    <t>040</t>
  </si>
  <si>
    <t>041</t>
  </si>
  <si>
    <t>042</t>
  </si>
  <si>
    <t>050</t>
  </si>
  <si>
    <t>051</t>
  </si>
  <si>
    <t>052</t>
  </si>
  <si>
    <t>060</t>
  </si>
  <si>
    <t>061</t>
  </si>
  <si>
    <t>062</t>
  </si>
  <si>
    <t>070</t>
  </si>
  <si>
    <t>071</t>
  </si>
  <si>
    <t>072</t>
  </si>
  <si>
    <t>080</t>
  </si>
  <si>
    <t>081</t>
  </si>
  <si>
    <t>082</t>
  </si>
  <si>
    <t>090</t>
  </si>
  <si>
    <t>091</t>
  </si>
  <si>
    <t>092</t>
  </si>
  <si>
    <t>100</t>
  </si>
  <si>
    <t>101</t>
  </si>
  <si>
    <t>102</t>
  </si>
  <si>
    <t>110</t>
  </si>
  <si>
    <t>111</t>
  </si>
  <si>
    <t>112</t>
  </si>
  <si>
    <t>120</t>
  </si>
  <si>
    <t>121</t>
  </si>
  <si>
    <t>122</t>
  </si>
  <si>
    <t>130</t>
  </si>
  <si>
    <t>131</t>
  </si>
  <si>
    <t>132</t>
  </si>
  <si>
    <t>140</t>
  </si>
  <si>
    <t>141</t>
  </si>
  <si>
    <t>142</t>
  </si>
  <si>
    <t>150</t>
  </si>
  <si>
    <t>151</t>
  </si>
  <si>
    <t>152</t>
  </si>
  <si>
    <t>160</t>
  </si>
  <si>
    <t>161</t>
  </si>
  <si>
    <t>162</t>
  </si>
  <si>
    <t>170</t>
  </si>
  <si>
    <t>171</t>
  </si>
  <si>
    <t>172</t>
  </si>
  <si>
    <t>180</t>
  </si>
  <si>
    <t>181</t>
  </si>
  <si>
    <t>182</t>
  </si>
  <si>
    <t>190</t>
  </si>
  <si>
    <t>191</t>
  </si>
  <si>
    <t>192</t>
  </si>
  <si>
    <t>El simulador solo acepta registros de hasta 9 Hijos</t>
  </si>
  <si>
    <t>Salario MÌnimo</t>
  </si>
  <si>
    <t>Tabla de captura para incrementos futuros de salarios mìnimos y /o tope de referencia</t>
  </si>
  <si>
    <t>Inicio de la  Vigencia</t>
  </si>
  <si>
    <r>
      <t xml:space="preserve"> Simulador para el calculo de pensión del</t>
    </r>
    <r>
      <rPr>
        <b/>
        <sz val="19"/>
        <color indexed="11"/>
        <rFont val="Arial Narrow"/>
        <family val="2"/>
      </rPr>
      <t xml:space="preserve"> IMSS</t>
    </r>
    <r>
      <rPr>
        <b/>
        <sz val="19"/>
        <rFont val="Arial Narrow"/>
        <family val="2"/>
      </rPr>
      <t xml:space="preserve"> por </t>
    </r>
  </si>
  <si>
    <t>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</si>
</sst>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7" formatCode="&quot;$&quot;#,##0.00;\-&quot;$&quot;#,##0.00"/>
    <numFmt numFmtId="8" formatCode="&quot;$&quot;#,##0.00;[Red]\-&quot;$&quot;#,##0.00"/>
    <numFmt numFmtId="164" formatCode="0.000"/>
    <numFmt numFmtId="165" formatCode="#,##0.0"/>
    <numFmt numFmtId="166" formatCode="dd/mmm/yyyy"/>
    <numFmt numFmtId="167" formatCode="dd\-mmm\-yyyy"/>
    <numFmt numFmtId="168" formatCode="&quot;$&quot;#,###.00"/>
    <numFmt numFmtId="169" formatCode="_-[$€-2]* #,##0.00_-;\-[$€-2]* #,##0.00_-;_-[$€-2]* &quot;-&quot;??_-"/>
    <numFmt numFmtId="170" formatCode="&quot;$&quot;#,##0.00"/>
    <numFmt numFmtId="171" formatCode="#,##0_ ;\-#,##0\ "/>
    <numFmt numFmtId="172" formatCode="&quot;$&quot;#,##0.000"/>
  </numFmts>
  <fonts count="39" x14ac:knownFonts="1">
    <font>
      <sz val="10"/>
      <name val="Arial"/>
    </font>
    <font>
      <sz val="10"/>
      <name val="Arial"/>
    </font>
    <font>
      <sz val="10"/>
      <name val="Arial"/>
      <family val="2"/>
    </font>
    <font>
      <sz val="18"/>
      <color indexed="9"/>
      <name val="Arial"/>
      <family val="2"/>
    </font>
    <font>
      <sz val="10"/>
      <color indexed="9"/>
      <name val="Arial"/>
      <family val="2"/>
    </font>
    <font>
      <b/>
      <sz val="12"/>
      <color indexed="48"/>
      <name val="Arial"/>
      <family val="2"/>
    </font>
    <font>
      <sz val="8"/>
      <name val="Arial"/>
      <family val="2"/>
    </font>
    <font>
      <sz val="10"/>
      <color indexed="8"/>
      <name val="Arial"/>
      <family val="2"/>
    </font>
    <font>
      <sz val="9"/>
      <color indexed="9"/>
      <name val="Arial"/>
      <family val="2"/>
    </font>
    <font>
      <b/>
      <sz val="36"/>
      <color indexed="10"/>
      <name val="Arial"/>
      <family val="2"/>
    </font>
    <font>
      <u/>
      <sz val="10"/>
      <color indexed="12"/>
      <name val="Arial"/>
    </font>
    <font>
      <sz val="10"/>
      <color indexed="8"/>
      <name val="Arial"/>
    </font>
    <font>
      <b/>
      <sz val="12"/>
      <color indexed="9"/>
      <name val="Arial"/>
      <family val="2"/>
    </font>
    <font>
      <sz val="12"/>
      <name val="Arial"/>
    </font>
    <font>
      <sz val="7"/>
      <name val="Arial"/>
      <family val="2"/>
    </font>
    <font>
      <u/>
      <sz val="9"/>
      <color indexed="12"/>
      <name val="Arial"/>
    </font>
    <font>
      <sz val="8"/>
      <name val="Arial"/>
    </font>
    <font>
      <sz val="8"/>
      <color indexed="11"/>
      <name val="Arial"/>
      <family val="2"/>
    </font>
    <font>
      <sz val="9"/>
      <name val="Verdana"/>
      <family val="2"/>
    </font>
    <font>
      <b/>
      <sz val="11"/>
      <color indexed="10"/>
      <name val="Arial"/>
      <family val="2"/>
    </font>
    <font>
      <b/>
      <sz val="8"/>
      <color indexed="11"/>
      <name val="Arial"/>
      <family val="2"/>
    </font>
    <font>
      <sz val="7.5"/>
      <color indexed="11"/>
      <name val="Arial"/>
      <family val="2"/>
    </font>
    <font>
      <sz val="10"/>
      <color indexed="9"/>
      <name val="Arial"/>
    </font>
    <font>
      <b/>
      <sz val="10"/>
      <color indexed="12"/>
      <name val="Arial"/>
      <family val="2"/>
    </font>
    <font>
      <b/>
      <sz val="10"/>
      <color indexed="9"/>
      <name val="Arial"/>
      <family val="2"/>
    </font>
    <font>
      <sz val="12"/>
      <color indexed="8"/>
      <name val="Arial"/>
      <family val="2"/>
    </font>
    <font>
      <sz val="6"/>
      <color indexed="8"/>
      <name val="Arial"/>
      <family val="2"/>
    </font>
    <font>
      <b/>
      <sz val="12"/>
      <color indexed="16"/>
      <name val="Arial"/>
      <family val="2"/>
    </font>
    <font>
      <b/>
      <u/>
      <sz val="12"/>
      <color indexed="16"/>
      <name val="Arial"/>
      <family val="2"/>
    </font>
    <font>
      <sz val="10"/>
      <color indexed="10"/>
      <name val="Arial"/>
    </font>
    <font>
      <sz val="8"/>
      <color indexed="8"/>
      <name val="Arial"/>
    </font>
    <font>
      <b/>
      <sz val="10"/>
      <name val="Arial"/>
      <family val="2"/>
    </font>
    <font>
      <sz val="16"/>
      <name val="Arial"/>
    </font>
    <font>
      <b/>
      <sz val="8"/>
      <name val="Arial"/>
      <family val="2"/>
    </font>
    <font>
      <sz val="14"/>
      <color indexed="12"/>
      <name val="Arial"/>
      <family val="2"/>
    </font>
    <font>
      <b/>
      <sz val="8"/>
      <color indexed="10"/>
      <name val="Arial"/>
      <family val="2"/>
    </font>
    <font>
      <b/>
      <sz val="19"/>
      <name val="Arial Narrow"/>
      <family val="2"/>
    </font>
    <font>
      <b/>
      <sz val="19"/>
      <color indexed="11"/>
      <name val="Arial Narrow"/>
      <family val="2"/>
    </font>
    <font>
      <sz val="8"/>
      <color indexed="11"/>
      <name val="Arial"/>
    </font>
  </fonts>
  <fills count="18">
    <fill>
      <patternFill patternType="none"/>
    </fill>
    <fill>
      <patternFill patternType="gray125"/>
    </fill>
    <fill>
      <patternFill patternType="solid">
        <fgColor indexed="8"/>
        <bgColor indexed="64"/>
      </patternFill>
    </fill>
    <fill>
      <patternFill patternType="solid">
        <fgColor indexed="9"/>
        <bgColor indexed="64"/>
      </patternFill>
    </fill>
    <fill>
      <patternFill patternType="solid">
        <fgColor indexed="42"/>
        <bgColor indexed="64"/>
      </patternFill>
    </fill>
    <fill>
      <patternFill patternType="solid">
        <fgColor indexed="55"/>
        <bgColor indexed="64"/>
      </patternFill>
    </fill>
    <fill>
      <patternFill patternType="solid">
        <fgColor indexed="48"/>
        <bgColor indexed="64"/>
      </patternFill>
    </fill>
    <fill>
      <patternFill patternType="solid">
        <fgColor indexed="19"/>
        <bgColor indexed="64"/>
      </patternFill>
    </fill>
    <fill>
      <patternFill patternType="solid">
        <fgColor indexed="23"/>
        <bgColor indexed="64"/>
      </patternFill>
    </fill>
    <fill>
      <patternFill patternType="solid">
        <fgColor indexed="22"/>
        <bgColor indexed="64"/>
      </patternFill>
    </fill>
    <fill>
      <patternFill patternType="solid">
        <fgColor indexed="26"/>
        <bgColor indexed="64"/>
      </patternFill>
    </fill>
    <fill>
      <patternFill patternType="solid">
        <fgColor indexed="50"/>
        <bgColor indexed="64"/>
      </patternFill>
    </fill>
    <fill>
      <patternFill patternType="solid">
        <fgColor indexed="11"/>
        <bgColor indexed="64"/>
      </patternFill>
    </fill>
    <fill>
      <patternFill patternType="solid">
        <fgColor indexed="10"/>
        <bgColor indexed="64"/>
      </patternFill>
    </fill>
    <fill>
      <patternFill patternType="solid">
        <fgColor indexed="44"/>
        <bgColor indexed="64"/>
      </patternFill>
    </fill>
    <fill>
      <patternFill patternType="solid">
        <fgColor indexed="51"/>
        <bgColor indexed="64"/>
      </patternFill>
    </fill>
    <fill>
      <patternFill patternType="solid">
        <fgColor indexed="12"/>
        <bgColor indexed="64"/>
      </patternFill>
    </fill>
    <fill>
      <patternFill patternType="solid">
        <fgColor indexed="41"/>
        <bgColor indexed="64"/>
      </patternFill>
    </fill>
  </fills>
  <borders count="80">
    <border>
      <left/>
      <right/>
      <top/>
      <bottom/>
      <diagonal/>
    </border>
    <border>
      <left style="thin">
        <color indexed="64"/>
      </left>
      <right/>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medium">
        <color indexed="8"/>
      </left>
      <right style="medium">
        <color indexed="8"/>
      </right>
      <top/>
      <bottom style="thick">
        <color indexed="10"/>
      </bottom>
      <diagonal/>
    </border>
    <border>
      <left style="double">
        <color indexed="64"/>
      </left>
      <right style="thin">
        <color indexed="64"/>
      </right>
      <top style="thick">
        <color indexed="10"/>
      </top>
      <bottom style="thick">
        <color indexed="64"/>
      </bottom>
      <diagonal/>
    </border>
    <border>
      <left style="thin">
        <color indexed="64"/>
      </left>
      <right style="double">
        <color indexed="64"/>
      </right>
      <top style="thick">
        <color indexed="10"/>
      </top>
      <bottom style="thick">
        <color indexed="64"/>
      </bottom>
      <diagonal/>
    </border>
    <border>
      <left style="double">
        <color indexed="64"/>
      </left>
      <right style="medium">
        <color indexed="8"/>
      </right>
      <top/>
      <bottom style="thick">
        <color indexed="10"/>
      </bottom>
      <diagonal/>
    </border>
    <border>
      <left style="medium">
        <color indexed="8"/>
      </left>
      <right style="double">
        <color indexed="64"/>
      </right>
      <top/>
      <bottom style="thick">
        <color indexed="10"/>
      </bottom>
      <diagonal/>
    </border>
    <border>
      <left style="double">
        <color indexed="64"/>
      </left>
      <right style="thick">
        <color indexed="10"/>
      </right>
      <top style="double">
        <color indexed="64"/>
      </top>
      <bottom style="medium">
        <color indexed="10"/>
      </bottom>
      <diagonal/>
    </border>
    <border>
      <left/>
      <right style="thin">
        <color indexed="64"/>
      </right>
      <top style="thin">
        <color indexed="64"/>
      </top>
      <bottom style="thin">
        <color indexed="64"/>
      </bottom>
      <diagonal/>
    </border>
    <border>
      <left style="thin">
        <color indexed="64"/>
      </left>
      <right style="dashed">
        <color indexed="64"/>
      </right>
      <top style="dashed">
        <color indexed="64"/>
      </top>
      <bottom style="dashed">
        <color indexed="64"/>
      </bottom>
      <diagonal/>
    </border>
    <border>
      <left style="dashed">
        <color indexed="64"/>
      </left>
      <right style="dashed">
        <color indexed="64"/>
      </right>
      <top style="dashed">
        <color indexed="64"/>
      </top>
      <bottom style="dashed">
        <color indexed="64"/>
      </bottom>
      <diagonal/>
    </border>
    <border>
      <left style="dashed">
        <color indexed="64"/>
      </left>
      <right style="thin">
        <color indexed="64"/>
      </right>
      <top style="dashed">
        <color indexed="64"/>
      </top>
      <bottom style="dashed">
        <color indexed="64"/>
      </bottom>
      <diagonal/>
    </border>
    <border>
      <left style="thin">
        <color indexed="64"/>
      </left>
      <right style="thin">
        <color indexed="64"/>
      </right>
      <top style="thick">
        <color indexed="10"/>
      </top>
      <bottom style="thick">
        <color indexed="64"/>
      </bottom>
      <diagonal/>
    </border>
    <border>
      <left/>
      <right style="thin">
        <color indexed="64"/>
      </right>
      <top/>
      <bottom style="thin">
        <color indexed="64"/>
      </bottom>
      <diagonal/>
    </border>
    <border>
      <left style="medium">
        <color indexed="14"/>
      </left>
      <right style="thin">
        <color indexed="64"/>
      </right>
      <top style="thin">
        <color indexed="64"/>
      </top>
      <bottom style="medium">
        <color indexed="14"/>
      </bottom>
      <diagonal/>
    </border>
    <border>
      <left/>
      <right style="medium">
        <color indexed="14"/>
      </right>
      <top/>
      <bottom style="medium">
        <color indexed="14"/>
      </bottom>
      <diagonal/>
    </border>
    <border>
      <left style="thick">
        <color indexed="14"/>
      </left>
      <right style="thick">
        <color indexed="14"/>
      </right>
      <top style="thick">
        <color indexed="14"/>
      </top>
      <bottom style="thick">
        <color indexed="14"/>
      </bottom>
      <diagonal/>
    </border>
    <border>
      <left style="dotted">
        <color indexed="23"/>
      </left>
      <right style="dotted">
        <color indexed="23"/>
      </right>
      <top style="dotted">
        <color indexed="23"/>
      </top>
      <bottom style="dotted">
        <color indexed="23"/>
      </bottom>
      <diagonal/>
    </border>
    <border>
      <left style="dotted">
        <color indexed="23"/>
      </left>
      <right style="dotted">
        <color indexed="23"/>
      </right>
      <top style="dotted">
        <color indexed="23"/>
      </top>
      <bottom style="thick">
        <color indexed="14"/>
      </bottom>
      <diagonal/>
    </border>
    <border>
      <left style="dotted">
        <color indexed="23"/>
      </left>
      <right style="dotted">
        <color indexed="23"/>
      </right>
      <top style="thick">
        <color indexed="14"/>
      </top>
      <bottom style="dotted">
        <color indexed="23"/>
      </bottom>
      <diagonal/>
    </border>
    <border>
      <left style="thick">
        <color indexed="14"/>
      </left>
      <right/>
      <top style="thick">
        <color indexed="14"/>
      </top>
      <bottom/>
      <diagonal/>
    </border>
    <border>
      <left/>
      <right/>
      <top style="thick">
        <color indexed="14"/>
      </top>
      <bottom/>
      <diagonal/>
    </border>
    <border>
      <left/>
      <right style="thick">
        <color indexed="14"/>
      </right>
      <top style="thick">
        <color indexed="14"/>
      </top>
      <bottom/>
      <diagonal/>
    </border>
    <border>
      <left style="thick">
        <color indexed="14"/>
      </left>
      <right/>
      <top/>
      <bottom/>
      <diagonal/>
    </border>
    <border>
      <left/>
      <right style="thick">
        <color indexed="14"/>
      </right>
      <top/>
      <bottom/>
      <diagonal/>
    </border>
    <border>
      <left style="thick">
        <color indexed="14"/>
      </left>
      <right/>
      <top/>
      <bottom style="thick">
        <color indexed="14"/>
      </bottom>
      <diagonal/>
    </border>
    <border>
      <left/>
      <right/>
      <top/>
      <bottom style="thick">
        <color indexed="14"/>
      </bottom>
      <diagonal/>
    </border>
    <border>
      <left/>
      <right style="thick">
        <color indexed="14"/>
      </right>
      <top/>
      <bottom style="thick">
        <color indexed="14"/>
      </bottom>
      <diagonal/>
    </border>
    <border>
      <left style="dotted">
        <color indexed="23"/>
      </left>
      <right style="thick">
        <color indexed="14"/>
      </right>
      <top style="dotted">
        <color indexed="23"/>
      </top>
      <bottom style="dotted">
        <color indexed="23"/>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8"/>
      </left>
      <right/>
      <top style="thick">
        <color indexed="10"/>
      </top>
      <bottom style="medium">
        <color indexed="8"/>
      </bottom>
      <diagonal/>
    </border>
    <border>
      <left style="medium">
        <color indexed="8"/>
      </left>
      <right/>
      <top style="medium">
        <color indexed="8"/>
      </top>
      <bottom style="thick">
        <color indexed="10"/>
      </bottom>
      <diagonal/>
    </border>
    <border>
      <left style="double">
        <color indexed="64"/>
      </left>
      <right style="medium">
        <color indexed="8"/>
      </right>
      <top style="thick">
        <color indexed="10"/>
      </top>
      <bottom style="double">
        <color indexed="64"/>
      </bottom>
      <diagonal/>
    </border>
    <border>
      <left style="medium">
        <color indexed="8"/>
      </left>
      <right style="medium">
        <color indexed="8"/>
      </right>
      <top style="thick">
        <color indexed="10"/>
      </top>
      <bottom style="double">
        <color indexed="64"/>
      </bottom>
      <diagonal/>
    </border>
    <border>
      <left style="medium">
        <color indexed="8"/>
      </left>
      <right style="double">
        <color indexed="64"/>
      </right>
      <top style="thick">
        <color indexed="10"/>
      </top>
      <bottom style="double">
        <color indexed="64"/>
      </bottom>
      <diagonal/>
    </border>
    <border>
      <left style="medium">
        <color indexed="14"/>
      </left>
      <right/>
      <top style="medium">
        <color indexed="14"/>
      </top>
      <bottom style="thin">
        <color indexed="64"/>
      </bottom>
      <diagonal/>
    </border>
    <border>
      <left/>
      <right style="medium">
        <color indexed="14"/>
      </right>
      <top style="medium">
        <color indexed="14"/>
      </top>
      <bottom style="thin">
        <color indexed="64"/>
      </bottom>
      <diagonal/>
    </border>
    <border>
      <left style="thin">
        <color indexed="64"/>
      </left>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ck">
        <color indexed="10"/>
      </left>
      <right style="medium">
        <color indexed="8"/>
      </right>
      <top style="thick">
        <color indexed="10"/>
      </top>
      <bottom style="medium">
        <color indexed="8"/>
      </bottom>
      <diagonal/>
    </border>
    <border>
      <left style="medium">
        <color indexed="8"/>
      </left>
      <right style="medium">
        <color indexed="8"/>
      </right>
      <top style="thick">
        <color indexed="10"/>
      </top>
      <bottom style="medium">
        <color indexed="8"/>
      </bottom>
      <diagonal/>
    </border>
    <border>
      <left style="thick">
        <color indexed="10"/>
      </left>
      <right style="medium">
        <color indexed="8"/>
      </right>
      <top style="medium">
        <color indexed="8"/>
      </top>
      <bottom style="thick">
        <color indexed="10"/>
      </bottom>
      <diagonal/>
    </border>
    <border>
      <left style="medium">
        <color indexed="8"/>
      </left>
      <right style="medium">
        <color indexed="8"/>
      </right>
      <top style="medium">
        <color indexed="8"/>
      </top>
      <bottom style="thick">
        <color indexed="10"/>
      </bottom>
      <diagonal/>
    </border>
    <border>
      <left style="medium">
        <color indexed="8"/>
      </left>
      <right style="medium">
        <color indexed="8"/>
      </right>
      <top style="thick">
        <color indexed="10"/>
      </top>
      <bottom/>
      <diagonal/>
    </border>
    <border>
      <left style="double">
        <color indexed="64"/>
      </left>
      <right/>
      <top style="thick">
        <color indexed="10"/>
      </top>
      <bottom style="double">
        <color indexed="64"/>
      </bottom>
      <diagonal/>
    </border>
    <border>
      <left/>
      <right/>
      <top style="thick">
        <color indexed="10"/>
      </top>
      <bottom style="double">
        <color indexed="64"/>
      </bottom>
      <diagonal/>
    </border>
    <border>
      <left/>
      <right style="thick">
        <color indexed="10"/>
      </right>
      <top style="thick">
        <color indexed="10"/>
      </top>
      <bottom style="double">
        <color indexed="64"/>
      </bottom>
      <diagonal/>
    </border>
    <border>
      <left style="thin">
        <color indexed="64"/>
      </left>
      <right style="thin">
        <color indexed="64"/>
      </right>
      <top/>
      <bottom/>
      <diagonal/>
    </border>
    <border>
      <left/>
      <right/>
      <top/>
      <bottom style="thin">
        <color indexed="64"/>
      </bottom>
      <diagonal/>
    </border>
    <border>
      <left style="medium">
        <color indexed="14"/>
      </left>
      <right/>
      <top style="medium">
        <color indexed="14"/>
      </top>
      <bottom/>
      <diagonal/>
    </border>
    <border>
      <left/>
      <right style="medium">
        <color indexed="14"/>
      </right>
      <top style="medium">
        <color indexed="14"/>
      </top>
      <bottom/>
      <diagonal/>
    </border>
    <border>
      <left style="medium">
        <color indexed="14"/>
      </left>
      <right/>
      <top/>
      <bottom/>
      <diagonal/>
    </border>
    <border>
      <left/>
      <right style="medium">
        <color indexed="14"/>
      </right>
      <top/>
      <bottom/>
      <diagonal/>
    </border>
    <border>
      <left style="medium">
        <color indexed="14"/>
      </left>
      <right/>
      <top/>
      <bottom style="medium">
        <color indexed="14"/>
      </bottom>
      <diagonal/>
    </border>
    <border>
      <left style="thick">
        <color indexed="14"/>
      </left>
      <right/>
      <top style="thick">
        <color indexed="14"/>
      </top>
      <bottom style="thick">
        <color indexed="14"/>
      </bottom>
      <diagonal/>
    </border>
    <border>
      <left/>
      <right/>
      <top style="thick">
        <color indexed="14"/>
      </top>
      <bottom style="thick">
        <color indexed="14"/>
      </bottom>
      <diagonal/>
    </border>
    <border>
      <left/>
      <right style="thick">
        <color indexed="14"/>
      </right>
      <top style="thick">
        <color indexed="14"/>
      </top>
      <bottom style="thick">
        <color indexed="14"/>
      </bottom>
      <diagonal/>
    </border>
    <border>
      <left style="thick">
        <color indexed="14"/>
      </left>
      <right style="thin">
        <color indexed="64"/>
      </right>
      <top style="thick">
        <color indexed="14"/>
      </top>
      <bottom style="thick">
        <color indexed="14"/>
      </bottom>
      <diagonal/>
    </border>
    <border>
      <left/>
      <right style="thin">
        <color indexed="64"/>
      </right>
      <top style="thick">
        <color indexed="14"/>
      </top>
      <bottom style="thick">
        <color indexed="14"/>
      </bottom>
      <diagonal/>
    </border>
    <border>
      <left style="thin">
        <color indexed="64"/>
      </left>
      <right style="thin">
        <color indexed="64"/>
      </right>
      <top style="thick">
        <color indexed="14"/>
      </top>
      <bottom style="thick">
        <color indexed="14"/>
      </bottom>
      <diagonal/>
    </border>
    <border>
      <left style="thin">
        <color indexed="64"/>
      </left>
      <right/>
      <top style="thick">
        <color indexed="14"/>
      </top>
      <bottom style="thick">
        <color indexed="14"/>
      </bottom>
      <diagonal/>
    </border>
    <border>
      <left style="thin">
        <color indexed="64"/>
      </left>
      <right style="thick">
        <color indexed="14"/>
      </right>
      <top style="thick">
        <color indexed="14"/>
      </top>
      <bottom style="thick">
        <color indexed="14"/>
      </bottom>
      <diagonal/>
    </border>
    <border>
      <left style="thick">
        <color indexed="14"/>
      </left>
      <right style="thick">
        <color indexed="14"/>
      </right>
      <top/>
      <bottom/>
      <diagonal/>
    </border>
    <border>
      <left style="dotted">
        <color indexed="23"/>
      </left>
      <right style="thick">
        <color indexed="14"/>
      </right>
      <top style="thick">
        <color indexed="14"/>
      </top>
      <bottom style="dotted">
        <color indexed="23"/>
      </bottom>
      <diagonal/>
    </border>
    <border>
      <left style="thick">
        <color indexed="14"/>
      </left>
      <right style="dotted">
        <color indexed="23"/>
      </right>
      <top style="dotted">
        <color indexed="23"/>
      </top>
      <bottom style="dotted">
        <color indexed="23"/>
      </bottom>
      <diagonal/>
    </border>
    <border>
      <left style="thick">
        <color indexed="14"/>
      </left>
      <right style="dotted">
        <color indexed="23"/>
      </right>
      <top style="thick">
        <color indexed="14"/>
      </top>
      <bottom style="dotted">
        <color indexed="23"/>
      </bottom>
      <diagonal/>
    </border>
    <border>
      <left style="dotted">
        <color indexed="23"/>
      </left>
      <right style="thick">
        <color indexed="14"/>
      </right>
      <top style="dotted">
        <color indexed="23"/>
      </top>
      <bottom style="thick">
        <color indexed="14"/>
      </bottom>
      <diagonal/>
    </border>
    <border>
      <left style="thick">
        <color indexed="14"/>
      </left>
      <right style="dotted">
        <color indexed="23"/>
      </right>
      <top style="dotted">
        <color indexed="23"/>
      </top>
      <bottom style="thick">
        <color indexed="14"/>
      </bottom>
      <diagonal/>
    </border>
  </borders>
  <cellStyleXfs count="3">
    <xf numFmtId="0" fontId="0" fillId="0" borderId="0"/>
    <xf numFmtId="169" fontId="1" fillId="0" borderId="0" applyFont="0" applyFill="0" applyBorder="0" applyAlignment="0" applyProtection="0"/>
    <xf numFmtId="0" fontId="10" fillId="0" borderId="0" applyNumberFormat="0" applyFill="0" applyBorder="0" applyAlignment="0" applyProtection="0">
      <alignment vertical="top"/>
      <protection locked="0"/>
    </xf>
  </cellStyleXfs>
  <cellXfs count="217">
    <xf numFmtId="0" fontId="0" fillId="0" borderId="0" xfId="0"/>
    <xf numFmtId="0" fontId="0" fillId="0" borderId="0" xfId="0" applyAlignment="1">
      <alignment horizontal="center"/>
    </xf>
    <xf numFmtId="0" fontId="0" fillId="2" borderId="0" xfId="0" applyFill="1"/>
    <xf numFmtId="0" fontId="0" fillId="2" borderId="0" xfId="0" applyFill="1" applyAlignment="1">
      <alignment textRotation="90"/>
    </xf>
    <xf numFmtId="0" fontId="0" fillId="2" borderId="1" xfId="0" applyFill="1" applyBorder="1"/>
    <xf numFmtId="4" fontId="2" fillId="2" borderId="2" xfId="0" applyNumberFormat="1" applyFont="1" applyFill="1" applyBorder="1" applyAlignment="1">
      <alignment horizontal="center"/>
    </xf>
    <xf numFmtId="3" fontId="0" fillId="2" borderId="0" xfId="0" applyNumberFormat="1" applyFill="1"/>
    <xf numFmtId="2" fontId="0" fillId="2" borderId="0" xfId="0" applyNumberFormat="1" applyFill="1"/>
    <xf numFmtId="15" fontId="7" fillId="2" borderId="0" xfId="0" applyNumberFormat="1" applyFont="1" applyFill="1" applyAlignment="1">
      <alignment horizontal="center"/>
    </xf>
    <xf numFmtId="4" fontId="0" fillId="2" borderId="0" xfId="0" applyNumberFormat="1" applyFill="1"/>
    <xf numFmtId="0" fontId="6" fillId="0" borderId="3" xfId="0" applyFont="1" applyBorder="1" applyAlignment="1">
      <alignment horizontal="center" vertical="center"/>
    </xf>
    <xf numFmtId="2" fontId="6" fillId="0" borderId="3" xfId="0" applyNumberFormat="1" applyFont="1" applyBorder="1" applyAlignment="1">
      <alignment horizontal="center" vertical="center"/>
    </xf>
    <xf numFmtId="2" fontId="6" fillId="3" borderId="3" xfId="0" applyNumberFormat="1" applyFont="1" applyFill="1" applyBorder="1" applyAlignment="1">
      <alignment horizontal="center" vertical="center"/>
    </xf>
    <xf numFmtId="0" fontId="6" fillId="3" borderId="3" xfId="0" applyFont="1" applyFill="1" applyBorder="1" applyAlignment="1">
      <alignment horizontal="center" vertical="center"/>
    </xf>
    <xf numFmtId="164" fontId="6" fillId="0" borderId="3" xfId="0" applyNumberFormat="1" applyFont="1" applyBorder="1" applyAlignment="1">
      <alignment horizontal="center" vertical="center"/>
    </xf>
    <xf numFmtId="0" fontId="14" fillId="4" borderId="3" xfId="0" applyFont="1" applyFill="1" applyBorder="1" applyAlignment="1">
      <alignment horizontal="center" vertical="center" wrapText="1"/>
    </xf>
    <xf numFmtId="0" fontId="0" fillId="0" borderId="3" xfId="0" applyBorder="1" applyAlignment="1">
      <alignment horizontal="center" vertical="center"/>
    </xf>
    <xf numFmtId="0" fontId="0" fillId="2" borderId="4" xfId="0" applyFill="1" applyBorder="1"/>
    <xf numFmtId="0" fontId="0" fillId="2" borderId="0" xfId="0" applyFill="1" applyAlignment="1">
      <alignment horizontal="center"/>
    </xf>
    <xf numFmtId="3" fontId="0" fillId="2" borderId="0" xfId="0" applyNumberFormat="1" applyFill="1" applyAlignment="1">
      <alignment horizontal="center"/>
    </xf>
    <xf numFmtId="1" fontId="0" fillId="2" borderId="0" xfId="0" applyNumberFormat="1" applyFill="1"/>
    <xf numFmtId="0" fontId="11" fillId="2" borderId="0" xfId="0" applyFont="1" applyFill="1"/>
    <xf numFmtId="0" fontId="1" fillId="2" borderId="0" xfId="0" applyFont="1" applyFill="1" applyAlignment="1">
      <alignment vertical="center"/>
    </xf>
    <xf numFmtId="0" fontId="18" fillId="2" borderId="0" xfId="0" applyFont="1" applyFill="1" applyAlignment="1">
      <alignment horizontal="center" vertical="center" wrapText="1"/>
    </xf>
    <xf numFmtId="0" fontId="6" fillId="4" borderId="5" xfId="0" applyFont="1" applyFill="1" applyBorder="1" applyAlignment="1">
      <alignment horizontal="center" vertical="center"/>
    </xf>
    <xf numFmtId="0" fontId="8" fillId="2" borderId="0" xfId="0" applyFont="1" applyFill="1" applyAlignment="1">
      <alignment horizontal="center" vertical="center" wrapText="1"/>
    </xf>
    <xf numFmtId="0" fontId="0" fillId="0" borderId="0" xfId="0" applyProtection="1">
      <protection locked="0"/>
    </xf>
    <xf numFmtId="0" fontId="22" fillId="2" borderId="0" xfId="0" applyFont="1" applyFill="1" applyAlignment="1">
      <alignment horizontal="center"/>
    </xf>
    <xf numFmtId="4" fontId="0" fillId="0" borderId="0" xfId="0" applyNumberFormat="1" applyAlignment="1">
      <alignment horizontal="center"/>
    </xf>
    <xf numFmtId="4" fontId="0" fillId="2" borderId="0" xfId="0" applyNumberFormat="1" applyFill="1" applyAlignment="1">
      <alignment horizontal="center"/>
    </xf>
    <xf numFmtId="4" fontId="11" fillId="2" borderId="0" xfId="0" applyNumberFormat="1" applyFont="1" applyFill="1" applyAlignment="1">
      <alignment horizontal="center"/>
    </xf>
    <xf numFmtId="0" fontId="22" fillId="2" borderId="0" xfId="0" applyFont="1" applyFill="1"/>
    <xf numFmtId="4" fontId="22" fillId="2" borderId="0" xfId="0" applyNumberFormat="1" applyFont="1" applyFill="1" applyAlignment="1">
      <alignment horizontal="center"/>
    </xf>
    <xf numFmtId="4" fontId="22" fillId="2" borderId="0" xfId="0" applyNumberFormat="1" applyFont="1" applyFill="1" applyAlignment="1">
      <alignment horizontal="center" vertical="top"/>
    </xf>
    <xf numFmtId="2" fontId="2" fillId="2" borderId="0" xfId="0" applyNumberFormat="1" applyFont="1" applyFill="1" applyAlignment="1">
      <alignment horizontal="center" vertical="center"/>
    </xf>
    <xf numFmtId="4" fontId="16" fillId="4" borderId="6" xfId="0" applyNumberFormat="1" applyFont="1" applyFill="1" applyBorder="1" applyAlignment="1">
      <alignment horizontal="center" vertical="center"/>
    </xf>
    <xf numFmtId="4" fontId="16" fillId="4" borderId="5" xfId="0" applyNumberFormat="1" applyFont="1" applyFill="1" applyBorder="1" applyAlignment="1">
      <alignment horizontal="center" vertical="center"/>
    </xf>
    <xf numFmtId="0" fontId="15" fillId="2" borderId="0" xfId="2" applyFont="1" applyFill="1" applyBorder="1" applyAlignment="1" applyProtection="1">
      <alignment horizontal="center" vertical="center"/>
    </xf>
    <xf numFmtId="0" fontId="7" fillId="2" borderId="0" xfId="0" applyFont="1" applyFill="1" applyAlignment="1">
      <alignment textRotation="90"/>
    </xf>
    <xf numFmtId="3" fontId="2" fillId="5" borderId="6" xfId="0" applyNumberFormat="1" applyFont="1" applyFill="1" applyBorder="1" applyAlignment="1" applyProtection="1">
      <alignment horizontal="center" vertical="center"/>
      <protection locked="0"/>
    </xf>
    <xf numFmtId="168" fontId="2" fillId="5" borderId="6" xfId="0" applyNumberFormat="1" applyFont="1" applyFill="1" applyBorder="1" applyAlignment="1" applyProtection="1">
      <alignment horizontal="center" vertical="center"/>
      <protection locked="0"/>
    </xf>
    <xf numFmtId="0" fontId="2" fillId="5" borderId="6" xfId="0" applyFont="1" applyFill="1" applyBorder="1" applyAlignment="1" applyProtection="1">
      <alignment horizontal="center" vertical="center"/>
      <protection locked="0"/>
    </xf>
    <xf numFmtId="0" fontId="12" fillId="6" borderId="1" xfId="0" applyFont="1" applyFill="1" applyBorder="1" applyAlignment="1">
      <alignment horizontal="center" wrapText="1"/>
    </xf>
    <xf numFmtId="0" fontId="12" fillId="6" borderId="0" xfId="0" applyFont="1" applyFill="1" applyAlignment="1">
      <alignment horizontal="center" wrapText="1"/>
    </xf>
    <xf numFmtId="0" fontId="12" fillId="6" borderId="4" xfId="0" applyFont="1" applyFill="1" applyBorder="1" applyAlignment="1">
      <alignment horizontal="center" wrapText="1"/>
    </xf>
    <xf numFmtId="14" fontId="0" fillId="2" borderId="0" xfId="0" applyNumberFormat="1" applyFill="1"/>
    <xf numFmtId="0" fontId="6" fillId="0" borderId="3" xfId="0" applyFont="1" applyBorder="1" applyAlignment="1">
      <alignment horizontal="center"/>
    </xf>
    <xf numFmtId="2" fontId="6" fillId="0" borderId="3" xfId="0" applyNumberFormat="1" applyFont="1" applyBorder="1" applyAlignment="1">
      <alignment horizontal="center"/>
    </xf>
    <xf numFmtId="2" fontId="26" fillId="0" borderId="3" xfId="0" applyNumberFormat="1" applyFont="1" applyBorder="1" applyAlignment="1">
      <alignment horizontal="center" vertical="center" wrapText="1"/>
    </xf>
    <xf numFmtId="9" fontId="12" fillId="7" borderId="6" xfId="0" applyNumberFormat="1" applyFont="1" applyFill="1" applyBorder="1" applyAlignment="1">
      <alignment horizontal="center" vertical="center"/>
    </xf>
    <xf numFmtId="0" fontId="12" fillId="2" borderId="0" xfId="0" applyFont="1" applyFill="1" applyAlignment="1">
      <alignment horizontal="center" wrapText="1"/>
    </xf>
    <xf numFmtId="7" fontId="24" fillId="7" borderId="7" xfId="0" applyNumberFormat="1" applyFont="1" applyFill="1" applyBorder="1" applyAlignment="1">
      <alignment horizontal="center" vertical="center"/>
    </xf>
    <xf numFmtId="0" fontId="12" fillId="6" borderId="8" xfId="0" applyFont="1" applyFill="1" applyBorder="1" applyAlignment="1">
      <alignment horizontal="center" textRotation="90" wrapText="1"/>
    </xf>
    <xf numFmtId="171" fontId="25" fillId="8" borderId="9" xfId="0" applyNumberFormat="1" applyFont="1" applyFill="1" applyBorder="1" applyAlignment="1" applyProtection="1">
      <alignment horizontal="center" vertical="center"/>
      <protection locked="0"/>
    </xf>
    <xf numFmtId="0" fontId="7" fillId="5" borderId="10" xfId="0" applyFont="1" applyFill="1" applyBorder="1" applyAlignment="1" applyProtection="1">
      <alignment horizontal="center" vertical="center"/>
      <protection locked="0"/>
    </xf>
    <xf numFmtId="0" fontId="12" fillId="2" borderId="1" xfId="0" applyFont="1" applyFill="1" applyBorder="1" applyAlignment="1">
      <alignment horizontal="center" wrapText="1"/>
    </xf>
    <xf numFmtId="0" fontId="12" fillId="2" borderId="4" xfId="0" applyFont="1" applyFill="1" applyBorder="1" applyAlignment="1">
      <alignment horizontal="center" wrapText="1"/>
    </xf>
    <xf numFmtId="0" fontId="0" fillId="2" borderId="0" xfId="0" applyFill="1" applyAlignment="1">
      <alignment horizontal="center" vertical="center"/>
    </xf>
    <xf numFmtId="0" fontId="0" fillId="0" borderId="0" xfId="0" applyAlignment="1">
      <alignment horizontal="center" vertical="center"/>
    </xf>
    <xf numFmtId="0" fontId="12" fillId="6" borderId="11" xfId="0" applyFont="1" applyFill="1" applyBorder="1" applyAlignment="1">
      <alignment horizontal="center" textRotation="90" wrapText="1"/>
    </xf>
    <xf numFmtId="0" fontId="12" fillId="6" borderId="12" xfId="0" applyFont="1" applyFill="1" applyBorder="1" applyAlignment="1">
      <alignment horizontal="center" textRotation="90" wrapText="1"/>
    </xf>
    <xf numFmtId="0" fontId="12" fillId="6" borderId="13" xfId="0" applyFont="1" applyFill="1" applyBorder="1" applyAlignment="1">
      <alignment horizontal="center" textRotation="90" wrapText="1"/>
    </xf>
    <xf numFmtId="1" fontId="12" fillId="7" borderId="6" xfId="0" applyNumberFormat="1" applyFont="1" applyFill="1" applyBorder="1" applyAlignment="1">
      <alignment horizontal="center" vertical="center"/>
    </xf>
    <xf numFmtId="167" fontId="2" fillId="0" borderId="3" xfId="0" applyNumberFormat="1" applyFont="1" applyBorder="1" applyAlignment="1">
      <alignment horizontal="center" vertical="center"/>
    </xf>
    <xf numFmtId="0" fontId="2" fillId="0" borderId="3" xfId="0" applyFont="1" applyBorder="1" applyAlignment="1">
      <alignment horizontal="center" vertical="center"/>
    </xf>
    <xf numFmtId="167" fontId="2" fillId="0" borderId="3" xfId="0" applyNumberFormat="1" applyFont="1" applyBorder="1" applyAlignment="1">
      <alignment horizontal="center" vertical="center" wrapText="1"/>
    </xf>
    <xf numFmtId="170" fontId="2" fillId="0" borderId="3" xfId="0" applyNumberFormat="1" applyFont="1" applyBorder="1" applyAlignment="1">
      <alignment horizontal="center" vertical="center"/>
    </xf>
    <xf numFmtId="170" fontId="2" fillId="0" borderId="3" xfId="0" applyNumberFormat="1" applyFont="1" applyBorder="1" applyAlignment="1">
      <alignment horizontal="center" vertical="center" wrapText="1"/>
    </xf>
    <xf numFmtId="7" fontId="2" fillId="0" borderId="3" xfId="0" applyNumberFormat="1" applyFont="1" applyBorder="1" applyAlignment="1">
      <alignment horizontal="center" vertical="center"/>
    </xf>
    <xf numFmtId="0" fontId="29" fillId="2" borderId="0" xfId="0" applyFont="1" applyFill="1"/>
    <xf numFmtId="2" fontId="0" fillId="0" borderId="14" xfId="0" applyNumberFormat="1" applyBorder="1" applyAlignment="1">
      <alignment horizontal="center" vertical="center"/>
    </xf>
    <xf numFmtId="0" fontId="0" fillId="0" borderId="14" xfId="0" applyBorder="1" applyAlignment="1">
      <alignment horizontal="center" vertical="center"/>
    </xf>
    <xf numFmtId="2" fontId="0" fillId="0" borderId="14" xfId="0" applyNumberFormat="1" applyBorder="1" applyAlignment="1">
      <alignment horizontal="center" vertical="center" wrapText="1"/>
    </xf>
    <xf numFmtId="0" fontId="29" fillId="2" borderId="14" xfId="0" applyFont="1" applyFill="1" applyBorder="1" applyAlignment="1">
      <alignment horizontal="center"/>
    </xf>
    <xf numFmtId="4" fontId="0" fillId="3" borderId="6" xfId="0" applyNumberFormat="1" applyFill="1" applyBorder="1" applyAlignment="1">
      <alignment horizontal="center"/>
    </xf>
    <xf numFmtId="170" fontId="0" fillId="3" borderId="6" xfId="0" applyNumberFormat="1" applyFill="1" applyBorder="1"/>
    <xf numFmtId="0" fontId="0" fillId="9" borderId="15" xfId="0" applyFill="1" applyBorder="1" applyAlignment="1">
      <alignment horizontal="center" vertical="center"/>
    </xf>
    <xf numFmtId="165" fontId="1" fillId="9" borderId="16" xfId="0" applyNumberFormat="1" applyFont="1" applyFill="1" applyBorder="1" applyAlignment="1">
      <alignment horizontal="center" vertical="center"/>
    </xf>
    <xf numFmtId="4" fontId="1" fillId="9" borderId="17" xfId="0" applyNumberFormat="1" applyFont="1" applyFill="1" applyBorder="1" applyAlignment="1">
      <alignment horizontal="center" vertical="center"/>
    </xf>
    <xf numFmtId="49" fontId="0" fillId="0" borderId="3" xfId="0" applyNumberFormat="1" applyBorder="1" applyAlignment="1">
      <alignment horizontal="center" vertical="center"/>
    </xf>
    <xf numFmtId="1" fontId="0" fillId="9" borderId="3" xfId="0" applyNumberFormat="1" applyFill="1" applyBorder="1" applyAlignment="1">
      <alignment horizontal="center" vertical="center"/>
    </xf>
    <xf numFmtId="1" fontId="0" fillId="2" borderId="3" xfId="0" applyNumberFormat="1" applyFill="1" applyBorder="1" applyAlignment="1">
      <alignment horizontal="center" vertical="center"/>
    </xf>
    <xf numFmtId="171" fontId="2" fillId="5" borderId="18" xfId="0" applyNumberFormat="1" applyFont="1" applyFill="1" applyBorder="1" applyAlignment="1" applyProtection="1">
      <alignment horizontal="center" vertical="center"/>
      <protection locked="0"/>
    </xf>
    <xf numFmtId="1" fontId="12" fillId="7" borderId="19" xfId="0" applyNumberFormat="1" applyFont="1" applyFill="1" applyBorder="1" applyAlignment="1">
      <alignment horizontal="center" vertical="center"/>
    </xf>
    <xf numFmtId="167" fontId="14" fillId="4" borderId="20" xfId="0" applyNumberFormat="1" applyFont="1" applyFill="1" applyBorder="1" applyAlignment="1">
      <alignment horizontal="center" vertical="center"/>
    </xf>
    <xf numFmtId="167" fontId="14" fillId="4" borderId="21" xfId="0" applyNumberFormat="1" applyFont="1" applyFill="1" applyBorder="1" applyAlignment="1">
      <alignment horizontal="center" vertical="center"/>
    </xf>
    <xf numFmtId="170" fontId="0" fillId="0" borderId="3" xfId="0" applyNumberFormat="1" applyBorder="1" applyAlignment="1">
      <alignment horizontal="center" vertical="center"/>
    </xf>
    <xf numFmtId="172" fontId="2" fillId="0" borderId="14" xfId="0" applyNumberFormat="1" applyFont="1" applyBorder="1" applyAlignment="1">
      <alignment horizontal="center" vertical="center"/>
    </xf>
    <xf numFmtId="172" fontId="2" fillId="0" borderId="3" xfId="0" applyNumberFormat="1" applyFont="1" applyBorder="1" applyAlignment="1">
      <alignment horizontal="center" vertical="center"/>
    </xf>
    <xf numFmtId="0" fontId="0" fillId="2" borderId="3" xfId="0" applyFill="1" applyBorder="1" applyAlignment="1">
      <alignment horizontal="center"/>
    </xf>
    <xf numFmtId="0" fontId="33" fillId="4" borderId="22" xfId="0" applyFont="1" applyFill="1" applyBorder="1" applyAlignment="1">
      <alignment horizontal="center"/>
    </xf>
    <xf numFmtId="167" fontId="0" fillId="10" borderId="3" xfId="0" applyNumberFormat="1" applyFill="1" applyBorder="1" applyAlignment="1">
      <alignment horizontal="center"/>
    </xf>
    <xf numFmtId="1" fontId="0" fillId="10" borderId="3" xfId="0" applyNumberFormat="1" applyFill="1" applyBorder="1" applyAlignment="1">
      <alignment horizontal="center"/>
    </xf>
    <xf numFmtId="170" fontId="0" fillId="10" borderId="3" xfId="0" applyNumberFormat="1" applyFill="1" applyBorder="1" applyAlignment="1">
      <alignment horizontal="center"/>
    </xf>
    <xf numFmtId="170" fontId="0" fillId="10" borderId="3" xfId="0" applyNumberFormat="1" applyFill="1" applyBorder="1" applyAlignment="1">
      <alignment horizontal="center" vertical="center"/>
    </xf>
    <xf numFmtId="0" fontId="34" fillId="2" borderId="0" xfId="0" applyFont="1" applyFill="1" applyAlignment="1">
      <alignment horizontal="center" vertical="center" wrapText="1"/>
    </xf>
    <xf numFmtId="0" fontId="0" fillId="10" borderId="23" xfId="0" applyFill="1" applyBorder="1" applyAlignment="1" applyProtection="1">
      <alignment horizontal="center"/>
      <protection locked="0"/>
    </xf>
    <xf numFmtId="0" fontId="0" fillId="10" borderId="24" xfId="0" applyFill="1" applyBorder="1" applyAlignment="1" applyProtection="1">
      <alignment horizontal="center"/>
      <protection locked="0"/>
    </xf>
    <xf numFmtId="0" fontId="0" fillId="10" borderId="25" xfId="0" applyFill="1" applyBorder="1" applyAlignment="1">
      <alignment horizontal="center"/>
    </xf>
    <xf numFmtId="170" fontId="35" fillId="2" borderId="3" xfId="0" applyNumberFormat="1" applyFont="1" applyFill="1" applyBorder="1" applyAlignment="1">
      <alignment horizontal="center" vertical="center"/>
    </xf>
    <xf numFmtId="0" fontId="16" fillId="2" borderId="0" xfId="0" applyFont="1" applyFill="1"/>
    <xf numFmtId="2" fontId="16" fillId="2" borderId="0" xfId="0" applyNumberFormat="1" applyFont="1" applyFill="1"/>
    <xf numFmtId="8" fontId="9" fillId="2" borderId="0" xfId="0" applyNumberFormat="1" applyFont="1" applyFill="1" applyAlignment="1">
      <alignment horizontal="center" vertical="center"/>
    </xf>
    <xf numFmtId="170" fontId="0" fillId="3" borderId="3" xfId="0" applyNumberFormat="1" applyFill="1" applyBorder="1" applyAlignment="1">
      <alignment horizontal="center"/>
    </xf>
    <xf numFmtId="0" fontId="23" fillId="11" borderId="26" xfId="0" applyFont="1" applyFill="1" applyBorder="1" applyAlignment="1">
      <alignment horizontal="center" vertical="center" wrapText="1"/>
    </xf>
    <xf numFmtId="0" fontId="23" fillId="11" borderId="27" xfId="0" applyFont="1" applyFill="1" applyBorder="1" applyAlignment="1">
      <alignment horizontal="center" vertical="center" wrapText="1"/>
    </xf>
    <xf numFmtId="0" fontId="23" fillId="11" borderId="28" xfId="0" applyFont="1" applyFill="1" applyBorder="1" applyAlignment="1">
      <alignment horizontal="center" vertical="center" wrapText="1"/>
    </xf>
    <xf numFmtId="0" fontId="23" fillId="11" borderId="29" xfId="0" applyFont="1" applyFill="1" applyBorder="1" applyAlignment="1">
      <alignment horizontal="center" vertical="center" wrapText="1"/>
    </xf>
    <xf numFmtId="0" fontId="23" fillId="11" borderId="0" xfId="0" applyFont="1" applyFill="1" applyAlignment="1">
      <alignment horizontal="center" vertical="center" wrapText="1"/>
    </xf>
    <xf numFmtId="0" fontId="23" fillId="11" borderId="30" xfId="0" applyFont="1" applyFill="1" applyBorder="1" applyAlignment="1">
      <alignment horizontal="center" vertical="center" wrapText="1"/>
    </xf>
    <xf numFmtId="0" fontId="23" fillId="11" borderId="31" xfId="0" applyFont="1" applyFill="1" applyBorder="1" applyAlignment="1">
      <alignment horizontal="center" vertical="center" wrapText="1"/>
    </xf>
    <xf numFmtId="0" fontId="23" fillId="11" borderId="32" xfId="0" applyFont="1" applyFill="1" applyBorder="1" applyAlignment="1">
      <alignment horizontal="center" vertical="center" wrapText="1"/>
    </xf>
    <xf numFmtId="0" fontId="23" fillId="11" borderId="33" xfId="0" applyFont="1" applyFill="1" applyBorder="1" applyAlignment="1">
      <alignment horizontal="center" vertical="center" wrapText="1"/>
    </xf>
    <xf numFmtId="167" fontId="0" fillId="2" borderId="0" xfId="0" applyNumberFormat="1" applyFill="1" applyAlignment="1">
      <alignment horizontal="center"/>
    </xf>
    <xf numFmtId="0" fontId="0" fillId="2" borderId="0" xfId="0" applyFill="1" applyAlignment="1">
      <alignment horizontal="center"/>
    </xf>
    <xf numFmtId="7" fontId="0" fillId="10" borderId="23" xfId="0" applyNumberFormat="1" applyFill="1" applyBorder="1" applyAlignment="1" applyProtection="1">
      <alignment horizontal="center"/>
      <protection locked="0"/>
    </xf>
    <xf numFmtId="7" fontId="0" fillId="10" borderId="34" xfId="0" applyNumberFormat="1" applyFill="1" applyBorder="1" applyAlignment="1" applyProtection="1">
      <alignment horizontal="center"/>
      <protection locked="0"/>
    </xf>
    <xf numFmtId="0" fontId="17" fillId="2" borderId="35" xfId="0" applyFont="1" applyFill="1" applyBorder="1" applyAlignment="1">
      <alignment horizontal="center" vertical="center"/>
    </xf>
    <xf numFmtId="0" fontId="17" fillId="2" borderId="36" xfId="0" applyFont="1" applyFill="1" applyBorder="1" applyAlignment="1">
      <alignment horizontal="center" vertical="center"/>
    </xf>
    <xf numFmtId="0" fontId="17" fillId="2" borderId="14" xfId="0" applyFont="1" applyFill="1" applyBorder="1" applyAlignment="1">
      <alignment horizontal="center" vertical="center"/>
    </xf>
    <xf numFmtId="2" fontId="17" fillId="2" borderId="35" xfId="0" applyNumberFormat="1" applyFont="1" applyFill="1" applyBorder="1" applyAlignment="1">
      <alignment horizontal="center" vertical="center"/>
    </xf>
    <xf numFmtId="2" fontId="17" fillId="2" borderId="36" xfId="0" applyNumberFormat="1" applyFont="1" applyFill="1" applyBorder="1" applyAlignment="1">
      <alignment horizontal="center" vertical="center"/>
    </xf>
    <xf numFmtId="2" fontId="17" fillId="2" borderId="14" xfId="0" applyNumberFormat="1" applyFont="1" applyFill="1" applyBorder="1" applyAlignment="1">
      <alignment horizontal="center" vertical="center"/>
    </xf>
    <xf numFmtId="0" fontId="31" fillId="2" borderId="30" xfId="0" applyFont="1" applyFill="1" applyBorder="1" applyAlignment="1">
      <alignment horizontal="center"/>
    </xf>
    <xf numFmtId="0" fontId="31" fillId="2" borderId="74" xfId="0" applyFont="1" applyFill="1" applyBorder="1" applyAlignment="1">
      <alignment horizontal="center"/>
    </xf>
    <xf numFmtId="0" fontId="33" fillId="4" borderId="22" xfId="0" applyFont="1" applyFill="1" applyBorder="1" applyAlignment="1">
      <alignment horizontal="center"/>
    </xf>
    <xf numFmtId="7" fontId="0" fillId="10" borderId="25" xfId="0" applyNumberFormat="1" applyFill="1" applyBorder="1" applyAlignment="1">
      <alignment horizontal="center"/>
    </xf>
    <xf numFmtId="7" fontId="0" fillId="10" borderId="75" xfId="0" applyNumberFormat="1" applyFill="1" applyBorder="1" applyAlignment="1">
      <alignment horizontal="center"/>
    </xf>
    <xf numFmtId="167" fontId="0" fillId="10" borderId="76" xfId="0" applyNumberFormat="1" applyFill="1" applyBorder="1" applyAlignment="1" applyProtection="1">
      <alignment horizontal="center"/>
      <protection locked="0"/>
    </xf>
    <xf numFmtId="167" fontId="0" fillId="10" borderId="23" xfId="0" applyNumberFormat="1" applyFill="1" applyBorder="1" applyAlignment="1" applyProtection="1">
      <alignment horizontal="center"/>
      <protection locked="0"/>
    </xf>
    <xf numFmtId="0" fontId="32" fillId="2" borderId="0" xfId="0" applyFont="1" applyFill="1" applyAlignment="1">
      <alignment horizontal="center" vertical="center"/>
    </xf>
    <xf numFmtId="0" fontId="32" fillId="2" borderId="30" xfId="0" applyFont="1" applyFill="1" applyBorder="1" applyAlignment="1">
      <alignment horizontal="center" vertical="center"/>
    </xf>
    <xf numFmtId="167" fontId="0" fillId="10" borderId="77" xfId="0" applyNumberFormat="1" applyFill="1" applyBorder="1" applyAlignment="1">
      <alignment horizontal="center"/>
    </xf>
    <xf numFmtId="167" fontId="0" fillId="10" borderId="25" xfId="0" applyNumberFormat="1" applyFill="1" applyBorder="1" applyAlignment="1">
      <alignment horizontal="center"/>
    </xf>
    <xf numFmtId="0" fontId="1" fillId="0" borderId="3" xfId="0" applyFont="1" applyBorder="1" applyAlignment="1">
      <alignment horizontal="center"/>
    </xf>
    <xf numFmtId="0" fontId="0" fillId="4" borderId="3" xfId="0" applyFill="1" applyBorder="1" applyAlignment="1">
      <alignment horizontal="center" vertical="center"/>
    </xf>
    <xf numFmtId="0" fontId="23" fillId="15" borderId="60" xfId="0" applyFont="1" applyFill="1" applyBorder="1" applyAlignment="1">
      <alignment horizontal="center" vertical="center"/>
    </xf>
    <xf numFmtId="0" fontId="21" fillId="2" borderId="35" xfId="0" applyFont="1" applyFill="1" applyBorder="1" applyAlignment="1">
      <alignment horizontal="center" vertical="center"/>
    </xf>
    <xf numFmtId="0" fontId="21" fillId="2" borderId="36" xfId="0" applyFont="1" applyFill="1" applyBorder="1" applyAlignment="1">
      <alignment horizontal="center" vertical="center"/>
    </xf>
    <xf numFmtId="0" fontId="21" fillId="2" borderId="14" xfId="0" applyFont="1" applyFill="1" applyBorder="1" applyAlignment="1">
      <alignment horizontal="center" vertical="center"/>
    </xf>
    <xf numFmtId="0" fontId="20" fillId="2" borderId="35" xfId="0" applyFont="1" applyFill="1" applyBorder="1" applyAlignment="1">
      <alignment horizontal="center" vertical="center"/>
    </xf>
    <xf numFmtId="0" fontId="20" fillId="2" borderId="36" xfId="0" applyFont="1" applyFill="1" applyBorder="1" applyAlignment="1">
      <alignment horizontal="center" vertical="center"/>
    </xf>
    <xf numFmtId="0" fontId="20" fillId="2" borderId="14" xfId="0" applyFont="1" applyFill="1" applyBorder="1" applyAlignment="1">
      <alignment horizontal="center" vertical="center"/>
    </xf>
    <xf numFmtId="0" fontId="1" fillId="3" borderId="3" xfId="0" applyFont="1" applyFill="1" applyBorder="1" applyAlignment="1">
      <alignment horizontal="left" vertical="center"/>
    </xf>
    <xf numFmtId="0" fontId="15" fillId="2" borderId="0" xfId="2" applyFont="1" applyFill="1" applyBorder="1" applyAlignment="1" applyProtection="1">
      <alignment horizontal="center" vertical="center"/>
    </xf>
    <xf numFmtId="0" fontId="11" fillId="2" borderId="0" xfId="0" applyFont="1" applyFill="1" applyAlignment="1">
      <alignment horizontal="center"/>
    </xf>
    <xf numFmtId="0" fontId="0" fillId="2" borderId="0" xfId="0" applyFill="1"/>
    <xf numFmtId="8" fontId="9" fillId="2" borderId="0" xfId="0" applyNumberFormat="1" applyFont="1" applyFill="1" applyAlignment="1">
      <alignment horizontal="center" vertical="center"/>
    </xf>
    <xf numFmtId="0" fontId="1" fillId="14" borderId="3" xfId="0" applyFont="1" applyFill="1" applyBorder="1" applyAlignment="1">
      <alignment horizontal="center"/>
    </xf>
    <xf numFmtId="0" fontId="16" fillId="4" borderId="5" xfId="0" applyFont="1" applyFill="1" applyBorder="1" applyAlignment="1">
      <alignment horizontal="center" vertical="center" wrapText="1"/>
    </xf>
    <xf numFmtId="0" fontId="16" fillId="4" borderId="6" xfId="0" applyFont="1" applyFill="1" applyBorder="1" applyAlignment="1">
      <alignment horizontal="center" vertical="center" wrapText="1"/>
    </xf>
    <xf numFmtId="2" fontId="14" fillId="4" borderId="35" xfId="0" applyNumberFormat="1" applyFont="1" applyFill="1" applyBorder="1" applyAlignment="1">
      <alignment horizontal="center" wrapText="1"/>
    </xf>
    <xf numFmtId="2" fontId="14" fillId="4" borderId="14" xfId="0" applyNumberFormat="1" applyFont="1" applyFill="1" applyBorder="1" applyAlignment="1">
      <alignment horizontal="center" wrapText="1"/>
    </xf>
    <xf numFmtId="4" fontId="3" fillId="2" borderId="0" xfId="0" applyNumberFormat="1" applyFont="1" applyFill="1" applyAlignment="1">
      <alignment horizontal="center" vertical="center"/>
    </xf>
    <xf numFmtId="0" fontId="38" fillId="12" borderId="35" xfId="0" applyFont="1" applyFill="1" applyBorder="1" applyAlignment="1">
      <alignment horizontal="left" vertical="center"/>
    </xf>
    <xf numFmtId="0" fontId="38" fillId="12" borderId="36" xfId="0" applyFont="1" applyFill="1" applyBorder="1" applyAlignment="1">
      <alignment horizontal="left" vertical="center"/>
    </xf>
    <xf numFmtId="0" fontId="24" fillId="16" borderId="61" xfId="0" applyFont="1" applyFill="1" applyBorder="1" applyAlignment="1">
      <alignment horizontal="center" vertical="center" wrapText="1"/>
    </xf>
    <xf numFmtId="0" fontId="24" fillId="16" borderId="62" xfId="0" applyFont="1" applyFill="1" applyBorder="1" applyAlignment="1">
      <alignment horizontal="center" vertical="center" wrapText="1"/>
    </xf>
    <xf numFmtId="0" fontId="24" fillId="16" borderId="63" xfId="0" applyFont="1" applyFill="1" applyBorder="1" applyAlignment="1">
      <alignment horizontal="center" vertical="center" wrapText="1"/>
    </xf>
    <xf numFmtId="0" fontId="24" fillId="16" borderId="64" xfId="0" applyFont="1" applyFill="1" applyBorder="1" applyAlignment="1">
      <alignment horizontal="center" vertical="center" wrapText="1"/>
    </xf>
    <xf numFmtId="0" fontId="24" fillId="16" borderId="65" xfId="0" applyFont="1" applyFill="1" applyBorder="1" applyAlignment="1">
      <alignment horizontal="center" vertical="center" wrapText="1"/>
    </xf>
    <xf numFmtId="0" fontId="24" fillId="16" borderId="21" xfId="0" applyFont="1" applyFill="1" applyBorder="1" applyAlignment="1">
      <alignment horizontal="center" vertical="center" wrapText="1"/>
    </xf>
    <xf numFmtId="8" fontId="19" fillId="17" borderId="63" xfId="0" applyNumberFormat="1" applyFont="1" applyFill="1" applyBorder="1" applyAlignment="1">
      <alignment horizontal="center" vertical="center"/>
    </xf>
    <xf numFmtId="8" fontId="19" fillId="17" borderId="64" xfId="0" applyNumberFormat="1" applyFont="1" applyFill="1" applyBorder="1" applyAlignment="1">
      <alignment horizontal="center" vertical="center"/>
    </xf>
    <xf numFmtId="0" fontId="5" fillId="15" borderId="66" xfId="0" applyFont="1" applyFill="1" applyBorder="1" applyAlignment="1">
      <alignment horizontal="center" vertical="center"/>
    </xf>
    <xf numFmtId="0" fontId="5" fillId="15" borderId="67" xfId="0" applyFont="1" applyFill="1" applyBorder="1" applyAlignment="1">
      <alignment horizontal="center" vertical="center"/>
    </xf>
    <xf numFmtId="0" fontId="5" fillId="15" borderId="68" xfId="0" applyFont="1" applyFill="1" applyBorder="1" applyAlignment="1">
      <alignment horizontal="center" vertical="center"/>
    </xf>
    <xf numFmtId="8" fontId="9" fillId="4" borderId="69" xfId="0" applyNumberFormat="1" applyFont="1" applyFill="1" applyBorder="1" applyAlignment="1">
      <alignment horizontal="center" vertical="center"/>
    </xf>
    <xf numFmtId="8" fontId="9" fillId="4" borderId="70" xfId="0" applyNumberFormat="1" applyFont="1" applyFill="1" applyBorder="1" applyAlignment="1">
      <alignment horizontal="center" vertical="center"/>
    </xf>
    <xf numFmtId="8" fontId="9" fillId="4" borderId="71" xfId="0" applyNumberFormat="1" applyFont="1" applyFill="1" applyBorder="1" applyAlignment="1">
      <alignment horizontal="center" vertical="center"/>
    </xf>
    <xf numFmtId="8" fontId="9" fillId="4" borderId="72" xfId="0" applyNumberFormat="1" applyFont="1" applyFill="1" applyBorder="1" applyAlignment="1">
      <alignment horizontal="center" vertical="center"/>
    </xf>
    <xf numFmtId="8" fontId="9" fillId="4" borderId="73" xfId="0" applyNumberFormat="1" applyFont="1" applyFill="1" applyBorder="1" applyAlignment="1">
      <alignment horizontal="center" vertical="center"/>
    </xf>
    <xf numFmtId="0" fontId="31" fillId="4" borderId="42" xfId="0" applyFont="1" applyFill="1" applyBorder="1" applyAlignment="1">
      <alignment horizontal="center"/>
    </xf>
    <xf numFmtId="0" fontId="31" fillId="4" borderId="43" xfId="0" applyFont="1" applyFill="1" applyBorder="1" applyAlignment="1">
      <alignment horizontal="center"/>
    </xf>
    <xf numFmtId="0" fontId="4" fillId="0" borderId="0" xfId="0" applyFont="1" applyAlignment="1">
      <alignment horizontal="center" vertical="top" wrapText="1"/>
    </xf>
    <xf numFmtId="0" fontId="36" fillId="13" borderId="45" xfId="0" applyFont="1" applyFill="1" applyBorder="1" applyAlignment="1">
      <alignment horizontal="left" vertical="center"/>
    </xf>
    <xf numFmtId="0" fontId="36" fillId="13" borderId="46" xfId="0" applyFont="1" applyFill="1" applyBorder="1" applyAlignment="1">
      <alignment horizontal="left" vertical="center"/>
    </xf>
    <xf numFmtId="0" fontId="36" fillId="13" borderId="47" xfId="0" applyFont="1" applyFill="1" applyBorder="1" applyAlignment="1">
      <alignment horizontal="left" vertical="center"/>
    </xf>
    <xf numFmtId="0" fontId="36" fillId="13" borderId="48" xfId="0" applyFont="1" applyFill="1" applyBorder="1" applyAlignment="1">
      <alignment horizontal="left" vertical="center"/>
    </xf>
    <xf numFmtId="0" fontId="36" fillId="13" borderId="49" xfId="0" applyFont="1" applyFill="1" applyBorder="1" applyAlignment="1">
      <alignment horizontal="left" vertical="center"/>
    </xf>
    <xf numFmtId="0" fontId="36" fillId="13" borderId="50" xfId="0" applyFont="1" applyFill="1" applyBorder="1" applyAlignment="1">
      <alignment horizontal="left" vertical="center"/>
    </xf>
    <xf numFmtId="0" fontId="12" fillId="6" borderId="51" xfId="0" applyFont="1" applyFill="1" applyBorder="1" applyAlignment="1">
      <alignment horizontal="center" textRotation="90" wrapText="1"/>
    </xf>
    <xf numFmtId="0" fontId="12" fillId="6" borderId="52" xfId="0" applyFont="1" applyFill="1" applyBorder="1" applyAlignment="1">
      <alignment horizontal="center" textRotation="90" wrapText="1"/>
    </xf>
    <xf numFmtId="0" fontId="12" fillId="6" borderId="53" xfId="0" applyFont="1" applyFill="1" applyBorder="1" applyAlignment="1">
      <alignment horizontal="center" textRotation="90" wrapText="1"/>
    </xf>
    <xf numFmtId="0" fontId="12" fillId="6" borderId="54" xfId="0" applyFont="1" applyFill="1" applyBorder="1" applyAlignment="1">
      <alignment horizontal="center" textRotation="90" wrapText="1"/>
    </xf>
    <xf numFmtId="0" fontId="12" fillId="6" borderId="55" xfId="0" applyFont="1" applyFill="1" applyBorder="1" applyAlignment="1">
      <alignment horizontal="center" textRotation="90" wrapText="1"/>
    </xf>
    <xf numFmtId="0" fontId="12" fillId="6" borderId="8" xfId="0" applyFont="1" applyFill="1" applyBorder="1" applyAlignment="1">
      <alignment horizontal="center" textRotation="90" wrapText="1"/>
    </xf>
    <xf numFmtId="0" fontId="12" fillId="6" borderId="56" xfId="0" applyFont="1" applyFill="1" applyBorder="1" applyAlignment="1">
      <alignment horizontal="center" vertical="center" wrapText="1"/>
    </xf>
    <xf numFmtId="0" fontId="12" fillId="6" borderId="57" xfId="0" applyFont="1" applyFill="1" applyBorder="1" applyAlignment="1">
      <alignment horizontal="center" vertical="center" wrapText="1"/>
    </xf>
    <xf numFmtId="0" fontId="12" fillId="6" borderId="58" xfId="0" applyFont="1" applyFill="1" applyBorder="1" applyAlignment="1">
      <alignment horizontal="center" vertical="center" wrapText="1"/>
    </xf>
    <xf numFmtId="0" fontId="12" fillId="6" borderId="52" xfId="0" applyFont="1" applyFill="1" applyBorder="1" applyAlignment="1">
      <alignment horizontal="center" textRotation="90"/>
    </xf>
    <xf numFmtId="0" fontId="12" fillId="6" borderId="54" xfId="0" applyFont="1" applyFill="1" applyBorder="1" applyAlignment="1">
      <alignment horizontal="center" textRotation="90"/>
    </xf>
    <xf numFmtId="0" fontId="0" fillId="2" borderId="46" xfId="0" applyFill="1" applyBorder="1" applyAlignment="1">
      <alignment horizontal="center"/>
    </xf>
    <xf numFmtId="0" fontId="0" fillId="2" borderId="47" xfId="0" applyFill="1" applyBorder="1" applyAlignment="1">
      <alignment horizontal="center"/>
    </xf>
    <xf numFmtId="0" fontId="0" fillId="2" borderId="49" xfId="0" applyFill="1" applyBorder="1" applyAlignment="1">
      <alignment horizontal="center"/>
    </xf>
    <xf numFmtId="0" fontId="0" fillId="2" borderId="50" xfId="0" applyFill="1" applyBorder="1" applyAlignment="1">
      <alignment horizontal="center"/>
    </xf>
    <xf numFmtId="166" fontId="16" fillId="4" borderId="44" xfId="0" applyNumberFormat="1" applyFont="1" applyFill="1" applyBorder="1" applyAlignment="1">
      <alignment horizontal="center" vertical="center" wrapText="1"/>
    </xf>
    <xf numFmtId="166" fontId="16" fillId="4" borderId="1" xfId="0" applyNumberFormat="1" applyFont="1" applyFill="1" applyBorder="1" applyAlignment="1">
      <alignment horizontal="center" vertical="center" wrapText="1"/>
    </xf>
    <xf numFmtId="0" fontId="30" fillId="4" borderId="3" xfId="0" applyFont="1" applyFill="1" applyBorder="1" applyAlignment="1">
      <alignment horizontal="center" wrapText="1"/>
    </xf>
    <xf numFmtId="0" fontId="30" fillId="4" borderId="5" xfId="0" applyFont="1" applyFill="1" applyBorder="1" applyAlignment="1">
      <alignment horizontal="center" wrapText="1"/>
    </xf>
    <xf numFmtId="167" fontId="2" fillId="5" borderId="7" xfId="0" applyNumberFormat="1" applyFont="1" applyFill="1" applyBorder="1" applyAlignment="1" applyProtection="1">
      <alignment horizontal="center" vertical="center"/>
      <protection locked="0"/>
    </xf>
    <xf numFmtId="167" fontId="2" fillId="5" borderId="19" xfId="0" applyNumberFormat="1" applyFont="1" applyFill="1" applyBorder="1" applyAlignment="1" applyProtection="1">
      <alignment horizontal="center" vertical="center"/>
      <protection locked="0"/>
    </xf>
    <xf numFmtId="0" fontId="16" fillId="4" borderId="59" xfId="0" applyFont="1" applyFill="1" applyBorder="1" applyAlignment="1">
      <alignment horizontal="center" vertical="center" wrapText="1"/>
    </xf>
    <xf numFmtId="0" fontId="13" fillId="4" borderId="3" xfId="0" applyFont="1" applyFill="1" applyBorder="1" applyAlignment="1">
      <alignment horizontal="center" vertical="center"/>
    </xf>
    <xf numFmtId="0" fontId="1" fillId="14" borderId="3" xfId="0" applyFont="1" applyFill="1" applyBorder="1" applyAlignment="1">
      <alignment horizontal="center" vertical="center"/>
    </xf>
    <xf numFmtId="0" fontId="12" fillId="6" borderId="37" xfId="0" applyFont="1" applyFill="1" applyBorder="1" applyAlignment="1">
      <alignment horizontal="center" textRotation="90" wrapText="1"/>
    </xf>
    <xf numFmtId="0" fontId="12" fillId="6" borderId="38" xfId="0" applyFont="1" applyFill="1" applyBorder="1" applyAlignment="1">
      <alignment horizontal="center" textRotation="90" wrapText="1"/>
    </xf>
    <xf numFmtId="0" fontId="24" fillId="6" borderId="39" xfId="0" applyFont="1" applyFill="1" applyBorder="1" applyAlignment="1">
      <alignment horizontal="center" vertical="center" wrapText="1"/>
    </xf>
    <xf numFmtId="0" fontId="24" fillId="6" borderId="40" xfId="0" applyFont="1" applyFill="1" applyBorder="1" applyAlignment="1">
      <alignment horizontal="center" vertical="center" wrapText="1"/>
    </xf>
    <xf numFmtId="0" fontId="24" fillId="6" borderId="41" xfId="0" applyFont="1" applyFill="1" applyBorder="1" applyAlignment="1">
      <alignment horizontal="center" vertical="center" wrapText="1"/>
    </xf>
    <xf numFmtId="2" fontId="38" fillId="12" borderId="35" xfId="0" applyNumberFormat="1" applyFont="1" applyFill="1" applyBorder="1" applyAlignment="1">
      <alignment horizontal="left" vertical="center"/>
    </xf>
    <xf numFmtId="2" fontId="38" fillId="12" borderId="36" xfId="0" applyNumberFormat="1" applyFont="1" applyFill="1" applyBorder="1" applyAlignment="1">
      <alignment horizontal="left" vertical="center"/>
    </xf>
    <xf numFmtId="0" fontId="32" fillId="2" borderId="74" xfId="0" applyFont="1" applyFill="1" applyBorder="1" applyAlignment="1">
      <alignment horizontal="center" vertical="center"/>
    </xf>
    <xf numFmtId="7" fontId="0" fillId="10" borderId="24" xfId="0" applyNumberFormat="1" applyFill="1" applyBorder="1" applyAlignment="1" applyProtection="1">
      <alignment horizontal="center"/>
      <protection locked="0"/>
    </xf>
    <xf numFmtId="7" fontId="0" fillId="10" borderId="78" xfId="0" applyNumberFormat="1" applyFill="1" applyBorder="1" applyAlignment="1" applyProtection="1">
      <alignment horizontal="center"/>
      <protection locked="0"/>
    </xf>
    <xf numFmtId="167" fontId="0" fillId="10" borderId="79" xfId="0" applyNumberFormat="1" applyFill="1" applyBorder="1" applyAlignment="1" applyProtection="1">
      <alignment horizontal="center"/>
      <protection locked="0"/>
    </xf>
    <xf numFmtId="167" fontId="0" fillId="10" borderId="24" xfId="0" applyNumberFormat="1" applyFill="1" applyBorder="1" applyAlignment="1" applyProtection="1">
      <alignment horizontal="center"/>
      <protection locked="0"/>
    </xf>
  </cellXfs>
  <cellStyles count="3">
    <cellStyle name="Euro" xfId="1" xr:uid="{00000000-0005-0000-0000-000000000000}"/>
    <cellStyle name="Hipervínculo" xfId="2" builtinId="8"/>
    <cellStyle name="Normal" xfId="0" builtinId="0"/>
  </cellStyles>
  <dxfs count="26">
    <dxf>
      <font>
        <b/>
        <i val="0"/>
        <condense val="0"/>
        <extend val="0"/>
        <color auto="1"/>
      </font>
    </dxf>
    <dxf>
      <font>
        <condense val="0"/>
        <extend val="0"/>
        <color indexed="8"/>
      </font>
      <fill>
        <patternFill>
          <bgColor indexed="26"/>
        </patternFill>
      </fill>
      <border>
        <left style="thin">
          <color indexed="64"/>
        </left>
        <right style="thin">
          <color indexed="64"/>
        </right>
        <top style="thin">
          <color indexed="64"/>
        </top>
        <bottom style="thin">
          <color indexed="64"/>
        </bottom>
      </border>
    </dxf>
    <dxf>
      <fill>
        <patternFill>
          <bgColor indexed="9"/>
        </patternFill>
      </fill>
    </dxf>
    <dxf>
      <fill>
        <patternFill>
          <bgColor indexed="13"/>
        </patternFill>
      </fill>
      <border>
        <left style="thin">
          <color indexed="64"/>
        </left>
        <right style="thin">
          <color indexed="64"/>
        </right>
        <top style="thin">
          <color indexed="64"/>
        </top>
        <bottom style="thin">
          <color indexed="64"/>
        </bottom>
      </border>
    </dxf>
    <dxf>
      <fill>
        <patternFill>
          <bgColor indexed="34"/>
        </patternFill>
      </fill>
    </dxf>
    <dxf>
      <fill>
        <patternFill>
          <bgColor indexed="10"/>
        </patternFill>
      </fill>
    </dxf>
    <dxf>
      <fill>
        <patternFill>
          <bgColor indexed="55"/>
        </patternFill>
      </fill>
    </dxf>
    <dxf>
      <fill>
        <patternFill>
          <bgColor indexed="10"/>
        </patternFill>
      </fill>
    </dxf>
    <dxf>
      <font>
        <b val="0"/>
        <i val="0"/>
        <condense val="0"/>
        <extend val="0"/>
        <color indexed="8"/>
      </font>
      <fill>
        <patternFill>
          <bgColor indexed="55"/>
        </patternFill>
      </fill>
    </dxf>
    <dxf>
      <font>
        <condense val="0"/>
        <extend val="0"/>
        <color indexed="8"/>
      </font>
      <fill>
        <patternFill>
          <bgColor indexed="10"/>
        </patternFill>
      </fill>
    </dxf>
    <dxf>
      <fill>
        <patternFill>
          <bgColor indexed="11"/>
        </patternFill>
      </fill>
    </dxf>
    <dxf>
      <fill>
        <patternFill>
          <bgColor indexed="10"/>
        </patternFill>
      </fill>
    </dxf>
    <dxf>
      <font>
        <b val="0"/>
        <i val="0"/>
        <condense val="0"/>
        <extend val="0"/>
        <color indexed="8"/>
      </font>
      <fill>
        <patternFill>
          <bgColor indexed="55"/>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ill>
        <patternFill>
          <bgColor indexed="10"/>
        </patternFill>
      </fill>
    </dxf>
    <dxf>
      <fill>
        <patternFill>
          <bgColor indexed="10"/>
        </patternFill>
      </fill>
    </dxf>
    <dxf>
      <fill>
        <patternFill>
          <bgColor indexed="55"/>
        </patternFill>
      </fill>
    </dxf>
    <dxf>
      <font>
        <b/>
        <i val="0"/>
        <condense val="0"/>
        <extend val="0"/>
        <color indexed="9"/>
      </font>
      <fill>
        <patternFill>
          <bgColor indexed="10"/>
        </patternFill>
      </fill>
    </dxf>
    <dxf>
      <fill>
        <patternFill>
          <bgColor indexed="8"/>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hyperlink" Target="#'Calculo Pension'!Y171"/><Relationship Id="rId3" Type="http://schemas.openxmlformats.org/officeDocument/2006/relationships/hyperlink" Target="#IS2"/><Relationship Id="rId7" Type="http://schemas.openxmlformats.org/officeDocument/2006/relationships/hyperlink" Target="#'Calculo Pension'!BO62"/><Relationship Id="rId12" Type="http://schemas.openxmlformats.org/officeDocument/2006/relationships/hyperlink" Target="#'Calculo Pension'!M215"/><Relationship Id="rId2" Type="http://schemas.openxmlformats.org/officeDocument/2006/relationships/hyperlink" Target="#A1"/><Relationship Id="rId1" Type="http://schemas.openxmlformats.org/officeDocument/2006/relationships/image" Target="../media/image1.png"/><Relationship Id="rId6" Type="http://schemas.openxmlformats.org/officeDocument/2006/relationships/hyperlink" Target="#'Calculo Pension'!B217"/><Relationship Id="rId11" Type="http://schemas.openxmlformats.org/officeDocument/2006/relationships/hyperlink" Target="#'Calculo Pension'!BO32"/><Relationship Id="rId5" Type="http://schemas.openxmlformats.org/officeDocument/2006/relationships/hyperlink" Target="#'Calculo Pension'!Y123"/><Relationship Id="rId10" Type="http://schemas.openxmlformats.org/officeDocument/2006/relationships/hyperlink" Target="#BJ68"/><Relationship Id="rId4" Type="http://schemas.openxmlformats.org/officeDocument/2006/relationships/image" Target="../media/image2.jpeg"/><Relationship Id="rId9" Type="http://schemas.openxmlformats.org/officeDocument/2006/relationships/hyperlink" Target="#'Calculo Pension'!J79"/></Relationships>
</file>

<file path=xl/drawings/drawing1.xml><?xml version="1.0" encoding="utf-8"?>
<xdr:wsDr xmlns:xdr="http://schemas.openxmlformats.org/drawingml/2006/spreadsheetDrawing" xmlns:a="http://schemas.openxmlformats.org/drawingml/2006/main">
  <xdr:twoCellAnchor>
    <xdr:from>
      <xdr:col>1</xdr:col>
      <xdr:colOff>352425</xdr:colOff>
      <xdr:row>138</xdr:row>
      <xdr:rowOff>0</xdr:rowOff>
    </xdr:from>
    <xdr:to>
      <xdr:col>27</xdr:col>
      <xdr:colOff>180975</xdr:colOff>
      <xdr:row>170</xdr:row>
      <xdr:rowOff>133350</xdr:rowOff>
    </xdr:to>
    <xdr:pic>
      <xdr:nvPicPr>
        <xdr:cNvPr id="4110" name="Picture 677">
          <a:extLst>
            <a:ext uri="{FF2B5EF4-FFF2-40B4-BE49-F238E27FC236}">
              <a16:creationId xmlns:a16="http://schemas.microsoft.com/office/drawing/2014/main" id="{00000000-0008-0000-0000-00000E1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4915" t="5881" r="3125" b="7530"/>
        <a:stretch>
          <a:fillRect/>
        </a:stretch>
      </xdr:blipFill>
      <xdr:spPr bwMode="auto">
        <a:xfrm>
          <a:off x="409575" y="25993725"/>
          <a:ext cx="10487025" cy="59245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2</xdr:col>
      <xdr:colOff>114300</xdr:colOff>
      <xdr:row>7</xdr:row>
      <xdr:rowOff>1819275</xdr:rowOff>
    </xdr:from>
    <xdr:to>
      <xdr:col>2</xdr:col>
      <xdr:colOff>114300</xdr:colOff>
      <xdr:row>8</xdr:row>
      <xdr:rowOff>180975</xdr:rowOff>
    </xdr:to>
    <xdr:sp macro="" textlink="">
      <xdr:nvSpPr>
        <xdr:cNvPr id="4111" name="Line 10">
          <a:extLst>
            <a:ext uri="{FF2B5EF4-FFF2-40B4-BE49-F238E27FC236}">
              <a16:creationId xmlns:a16="http://schemas.microsoft.com/office/drawing/2014/main" id="{00000000-0008-0000-0000-00000F100000}"/>
            </a:ext>
          </a:extLst>
        </xdr:cNvPr>
        <xdr:cNvSpPr>
          <a:spLocks noChangeShapeType="1"/>
        </xdr:cNvSpPr>
      </xdr:nvSpPr>
      <xdr:spPr bwMode="auto">
        <a:xfrm flipH="1">
          <a:off x="876300" y="2771775"/>
          <a:ext cx="0" cy="590550"/>
        </a:xfrm>
        <a:prstGeom prst="line">
          <a:avLst/>
        </a:prstGeom>
        <a:noFill/>
        <a:ln w="9525">
          <a:solidFill>
            <a:srgbClr val="FFFFFF"/>
          </a:solidFill>
          <a:round/>
          <a:headEnd/>
          <a:tailEnd/>
        </a:ln>
        <a:extLst>
          <a:ext uri="{909E8E84-426E-40DD-AFC4-6F175D3DCCD1}">
            <a14:hiddenFill xmlns:a14="http://schemas.microsoft.com/office/drawing/2010/main">
              <a:noFill/>
            </a14:hiddenFill>
          </a:ext>
        </a:extLst>
      </xdr:spPr>
    </xdr:sp>
    <xdr:clientData/>
  </xdr:twoCellAnchor>
  <xdr:twoCellAnchor editAs="oneCell">
    <xdr:from>
      <xdr:col>1</xdr:col>
      <xdr:colOff>0</xdr:colOff>
      <xdr:row>3</xdr:row>
      <xdr:rowOff>0</xdr:rowOff>
    </xdr:from>
    <xdr:to>
      <xdr:col>4</xdr:col>
      <xdr:colOff>19050</xdr:colOff>
      <xdr:row>7</xdr:row>
      <xdr:rowOff>2162175</xdr:rowOff>
    </xdr:to>
    <xdr:sp macro="" textlink="">
      <xdr:nvSpPr>
        <xdr:cNvPr id="1025" name="Text Box 1">
          <a:extLst>
            <a:ext uri="{FF2B5EF4-FFF2-40B4-BE49-F238E27FC236}">
              <a16:creationId xmlns:a16="http://schemas.microsoft.com/office/drawing/2014/main" id="{00000000-0008-0000-0000-000001040000}"/>
            </a:ext>
          </a:extLst>
        </xdr:cNvPr>
        <xdr:cNvSpPr txBox="1">
          <a:spLocks noChangeArrowheads="1"/>
        </xdr:cNvSpPr>
      </xdr:nvSpPr>
      <xdr:spPr bwMode="auto">
        <a:xfrm>
          <a:off x="57150" y="695325"/>
          <a:ext cx="1533525" cy="2419350"/>
        </a:xfrm>
        <a:prstGeom prst="rect">
          <a:avLst/>
        </a:prstGeom>
        <a:solidFill>
          <a:srgbClr val="FFFF00"/>
        </a:solidFill>
        <a:ln w="19050">
          <a:solidFill>
            <a:srgbClr val="FF0000"/>
          </a:solidFill>
          <a:miter lim="800000"/>
          <a:headEnd/>
          <a:tailEnd/>
        </a:ln>
      </xdr:spPr>
      <xdr:txBody>
        <a:bodyPr vertOverflow="clip" wrap="square" lIns="27432" tIns="22860" rIns="27432" bIns="0" anchor="t" upright="1"/>
        <a:lstStyle/>
        <a:p>
          <a:pPr algn="ctr" rtl="0">
            <a:lnSpc>
              <a:spcPts val="1300"/>
            </a:lnSpc>
            <a:defRPr sz="1000"/>
          </a:pPr>
          <a:r>
            <a:rPr lang="es-MX" sz="900" b="0" i="0" u="none" strike="noStrike" baseline="0">
              <a:solidFill>
                <a:srgbClr val="FF0000"/>
              </a:solidFill>
              <a:latin typeface="Arial"/>
              <a:cs typeface="Arial"/>
            </a:rPr>
            <a:t>    </a:t>
          </a:r>
          <a:r>
            <a:rPr lang="es-MX" sz="900" b="0" i="0" u="none" strike="noStrike" baseline="0">
              <a:solidFill>
                <a:srgbClr val="000000"/>
              </a:solidFill>
              <a:latin typeface="Arial"/>
              <a:cs typeface="Arial"/>
            </a:rPr>
            <a:t>   </a:t>
          </a:r>
          <a:r>
            <a:rPr lang="es-MX" sz="1200" b="1" i="0" u="none" strike="noStrike" baseline="0">
              <a:solidFill>
                <a:srgbClr val="000000"/>
              </a:solidFill>
              <a:latin typeface="Arial"/>
              <a:cs typeface="Arial"/>
            </a:rPr>
            <a:t>Instrucciones:</a:t>
          </a:r>
          <a:endParaRPr lang="es-MX" sz="900" b="0" i="0" u="none" strike="noStrike" baseline="0">
            <a:solidFill>
              <a:srgbClr val="FF0000"/>
            </a:solidFill>
            <a:latin typeface="Arial"/>
            <a:cs typeface="Arial"/>
          </a:endParaRPr>
        </a:p>
        <a:p>
          <a:pPr algn="ctr" rtl="0">
            <a:lnSpc>
              <a:spcPts val="1300"/>
            </a:lnSpc>
            <a:defRPr sz="1000"/>
          </a:pPr>
          <a:r>
            <a:rPr lang="es-MX" sz="1200" b="1" i="0" u="none" strike="noStrike" baseline="0">
              <a:solidFill>
                <a:srgbClr val="FF0000"/>
              </a:solidFill>
              <a:latin typeface="Arial"/>
              <a:cs typeface="Arial"/>
            </a:rPr>
            <a:t>Registre  en las celdas de color gris el dato que se solicite.</a:t>
          </a:r>
        </a:p>
        <a:p>
          <a:pPr algn="ctr" rtl="0">
            <a:lnSpc>
              <a:spcPts val="1200"/>
            </a:lnSpc>
            <a:defRPr sz="1000"/>
          </a:pPr>
          <a:r>
            <a:rPr lang="es-MX" sz="1200" b="1" i="0" u="none" strike="noStrike" baseline="0">
              <a:solidFill>
                <a:srgbClr val="FF0000"/>
              </a:solidFill>
              <a:latin typeface="Arial"/>
              <a:cs typeface="Arial"/>
            </a:rPr>
            <a:t>Revise en la sección de avisos de captura los mensajes que se generan y ajuste los datos  según el aviso.</a:t>
          </a:r>
          <a:endParaRPr lang="es-MX" sz="900" b="0" i="0" u="none" strike="noStrike" baseline="0">
            <a:solidFill>
              <a:srgbClr val="FF0000"/>
            </a:solidFill>
            <a:latin typeface="Arial"/>
            <a:cs typeface="Arial"/>
          </a:endParaRPr>
        </a:p>
        <a:p>
          <a:pPr algn="ctr" rtl="0">
            <a:lnSpc>
              <a:spcPts val="1100"/>
            </a:lnSpc>
            <a:defRPr sz="1000"/>
          </a:pPr>
          <a:endParaRPr lang="es-MX" sz="900" b="0" i="0" u="none" strike="noStrike" baseline="0">
            <a:solidFill>
              <a:srgbClr val="FF0000"/>
            </a:solidFill>
            <a:latin typeface="Arial"/>
            <a:cs typeface="Arial"/>
          </a:endParaRPr>
        </a:p>
        <a:p>
          <a:pPr algn="ctr" rtl="0">
            <a:lnSpc>
              <a:spcPts val="1100"/>
            </a:lnSpc>
            <a:defRPr sz="1000"/>
          </a:pPr>
          <a:endParaRPr lang="es-MX" sz="900" b="0" i="0" u="none" strike="noStrike" baseline="0">
            <a:solidFill>
              <a:srgbClr val="FF0000"/>
            </a:solidFill>
            <a:latin typeface="Arial"/>
            <a:cs typeface="Arial"/>
          </a:endParaRPr>
        </a:p>
        <a:p>
          <a:pPr algn="ctr" rtl="0">
            <a:defRPr sz="1000"/>
          </a:pPr>
          <a:endParaRPr lang="es-MX" sz="900" b="0" i="0" u="none" strike="noStrike" baseline="0">
            <a:solidFill>
              <a:srgbClr val="FF0000"/>
            </a:solidFill>
            <a:latin typeface="Arial"/>
            <a:cs typeface="Arial"/>
          </a:endParaRPr>
        </a:p>
        <a:p>
          <a:pPr algn="ctr" rtl="0">
            <a:lnSpc>
              <a:spcPts val="900"/>
            </a:lnSpc>
            <a:defRPr sz="1000"/>
          </a:pPr>
          <a:endParaRPr lang="es-MX" sz="900" b="0" i="0" u="none" strike="noStrike" baseline="0">
            <a:solidFill>
              <a:srgbClr val="FF0000"/>
            </a:solidFill>
            <a:latin typeface="Arial"/>
            <a:cs typeface="Arial"/>
          </a:endParaRPr>
        </a:p>
      </xdr:txBody>
    </xdr:sp>
    <xdr:clientData/>
  </xdr:twoCellAnchor>
  <xdr:twoCellAnchor editAs="oneCell">
    <xdr:from>
      <xdr:col>0</xdr:col>
      <xdr:colOff>38100</xdr:colOff>
      <xdr:row>18</xdr:row>
      <xdr:rowOff>9525</xdr:rowOff>
    </xdr:from>
    <xdr:to>
      <xdr:col>2</xdr:col>
      <xdr:colOff>742950</xdr:colOff>
      <xdr:row>23</xdr:row>
      <xdr:rowOff>9525</xdr:rowOff>
    </xdr:to>
    <xdr:sp macro="" textlink="">
      <xdr:nvSpPr>
        <xdr:cNvPr id="1026" name="Text Box 2">
          <a:extLst>
            <a:ext uri="{FF2B5EF4-FFF2-40B4-BE49-F238E27FC236}">
              <a16:creationId xmlns:a16="http://schemas.microsoft.com/office/drawing/2014/main" id="{00000000-0008-0000-0000-000002040000}"/>
            </a:ext>
          </a:extLst>
        </xdr:cNvPr>
        <xdr:cNvSpPr txBox="1">
          <a:spLocks noChangeArrowheads="1"/>
        </xdr:cNvSpPr>
      </xdr:nvSpPr>
      <xdr:spPr bwMode="auto">
        <a:xfrm>
          <a:off x="38100" y="4800600"/>
          <a:ext cx="1466850" cy="723900"/>
        </a:xfrm>
        <a:prstGeom prst="rect">
          <a:avLst/>
        </a:prstGeom>
        <a:solidFill>
          <a:srgbClr val="FFFF00"/>
        </a:solidFill>
        <a:ln w="9525">
          <a:solidFill>
            <a:srgbClr val="FF0000"/>
          </a:solidFill>
          <a:miter lim="800000"/>
          <a:headEnd/>
          <a:tailEnd/>
        </a:ln>
      </xdr:spPr>
      <xdr:txBody>
        <a:bodyPr vertOverflow="clip" wrap="square" lIns="36576" tIns="27432" rIns="36576" bIns="0" anchor="t" upright="1"/>
        <a:lstStyle/>
        <a:p>
          <a:pPr algn="ctr" rtl="0">
            <a:defRPr sz="1000"/>
          </a:pPr>
          <a:r>
            <a:rPr lang="es-MX" sz="1400" b="1" i="0" u="none" strike="noStrike" baseline="0">
              <a:solidFill>
                <a:srgbClr val="FF0000"/>
              </a:solidFill>
              <a:latin typeface="Arial"/>
              <a:cs typeface="Arial"/>
            </a:rPr>
            <a:t>  SECCIÓN DE AVISOS  DE CAPTURA</a:t>
          </a:r>
        </a:p>
      </xdr:txBody>
    </xdr:sp>
    <xdr:clientData/>
  </xdr:twoCellAnchor>
  <xdr:twoCellAnchor>
    <xdr:from>
      <xdr:col>2</xdr:col>
      <xdr:colOff>114300</xdr:colOff>
      <xdr:row>8</xdr:row>
      <xdr:rowOff>180975</xdr:rowOff>
    </xdr:from>
    <xdr:to>
      <xdr:col>5</xdr:col>
      <xdr:colOff>9525</xdr:colOff>
      <xdr:row>8</xdr:row>
      <xdr:rowOff>180975</xdr:rowOff>
    </xdr:to>
    <xdr:sp macro="" textlink="">
      <xdr:nvSpPr>
        <xdr:cNvPr id="4114" name="Line 9">
          <a:extLst>
            <a:ext uri="{FF2B5EF4-FFF2-40B4-BE49-F238E27FC236}">
              <a16:creationId xmlns:a16="http://schemas.microsoft.com/office/drawing/2014/main" id="{00000000-0008-0000-0000-000012100000}"/>
            </a:ext>
          </a:extLst>
        </xdr:cNvPr>
        <xdr:cNvSpPr>
          <a:spLocks noChangeShapeType="1"/>
        </xdr:cNvSpPr>
      </xdr:nvSpPr>
      <xdr:spPr bwMode="auto">
        <a:xfrm flipV="1">
          <a:off x="876300" y="3362325"/>
          <a:ext cx="762000" cy="0"/>
        </a:xfrm>
        <a:prstGeom prst="line">
          <a:avLst/>
        </a:prstGeom>
        <a:noFill/>
        <a:ln w="9525">
          <a:solidFill>
            <a:srgbClr val="FFFFFF"/>
          </a:solidFill>
          <a:round/>
          <a:headEnd/>
          <a:tailEnd type="triangle" w="med" len="med"/>
        </a:ln>
        <a:extLst>
          <a:ext uri="{909E8E84-426E-40DD-AFC4-6F175D3DCCD1}">
            <a14:hiddenFill xmlns:a14="http://schemas.microsoft.com/office/drawing/2010/main">
              <a:noFill/>
            </a14:hiddenFill>
          </a:ext>
        </a:extLst>
      </xdr:spPr>
    </xdr:sp>
    <xdr:clientData/>
  </xdr:twoCellAnchor>
  <xdr:twoCellAnchor editAs="oneCell">
    <xdr:from>
      <xdr:col>65</xdr:col>
      <xdr:colOff>66675</xdr:colOff>
      <xdr:row>145</xdr:row>
      <xdr:rowOff>114300</xdr:rowOff>
    </xdr:from>
    <xdr:to>
      <xdr:col>66</xdr:col>
      <xdr:colOff>762000</xdr:colOff>
      <xdr:row>147</xdr:row>
      <xdr:rowOff>66675</xdr:rowOff>
    </xdr:to>
    <xdr:sp macro="" textlink="">
      <xdr:nvSpPr>
        <xdr:cNvPr id="1036" name="Text Box 12">
          <a:extLst>
            <a:ext uri="{FF2B5EF4-FFF2-40B4-BE49-F238E27FC236}">
              <a16:creationId xmlns:a16="http://schemas.microsoft.com/office/drawing/2014/main" id="{00000000-0008-0000-0000-00000C040000}"/>
            </a:ext>
          </a:extLst>
        </xdr:cNvPr>
        <xdr:cNvSpPr txBox="1">
          <a:spLocks noChangeArrowheads="1"/>
        </xdr:cNvSpPr>
      </xdr:nvSpPr>
      <xdr:spPr bwMode="auto">
        <a:xfrm>
          <a:off x="22840950" y="27374850"/>
          <a:ext cx="1238250" cy="314325"/>
        </a:xfrm>
        <a:prstGeom prst="rect">
          <a:avLst/>
        </a:prstGeom>
        <a:solidFill>
          <a:srgbClr val="C0C0C0"/>
        </a:solidFill>
        <a:ln w="9525">
          <a:solidFill>
            <a:srgbClr val="000000"/>
          </a:solidFill>
          <a:miter lim="800000"/>
          <a:headEnd/>
          <a:tailEnd/>
        </a:ln>
      </xdr:spPr>
      <xdr:txBody>
        <a:bodyPr vertOverflow="clip" wrap="square" lIns="27432" tIns="22860" rIns="27432" bIns="0" anchor="t" upright="1"/>
        <a:lstStyle/>
        <a:p>
          <a:pPr algn="ctr" rtl="0">
            <a:lnSpc>
              <a:spcPts val="700"/>
            </a:lnSpc>
            <a:defRPr sz="1000"/>
          </a:pPr>
          <a:r>
            <a:rPr lang="es-MX" sz="800" b="0" i="0" u="none" strike="noStrike" baseline="0">
              <a:solidFill>
                <a:srgbClr val="000000"/>
              </a:solidFill>
              <a:latin typeface="Arial"/>
              <a:cs typeface="Arial"/>
            </a:rPr>
            <a:t>Promedio diario del salario tope de las 250 semanas</a:t>
          </a:r>
        </a:p>
      </xdr:txBody>
    </xdr:sp>
    <xdr:clientData/>
  </xdr:twoCellAnchor>
  <xdr:twoCellAnchor editAs="oneCell">
    <xdr:from>
      <xdr:col>51</xdr:col>
      <xdr:colOff>0</xdr:colOff>
      <xdr:row>7</xdr:row>
      <xdr:rowOff>1447800</xdr:rowOff>
    </xdr:from>
    <xdr:to>
      <xdr:col>55</xdr:col>
      <xdr:colOff>0</xdr:colOff>
      <xdr:row>7</xdr:row>
      <xdr:rowOff>2114550</xdr:rowOff>
    </xdr:to>
    <xdr:sp macro="" textlink="">
      <xdr:nvSpPr>
        <xdr:cNvPr id="1056" name="Text Box 32">
          <a:extLst>
            <a:ext uri="{FF2B5EF4-FFF2-40B4-BE49-F238E27FC236}">
              <a16:creationId xmlns:a16="http://schemas.microsoft.com/office/drawing/2014/main" id="{00000000-0008-0000-0000-000020040000}"/>
            </a:ext>
          </a:extLst>
        </xdr:cNvPr>
        <xdr:cNvSpPr txBox="1">
          <a:spLocks noChangeArrowheads="1"/>
        </xdr:cNvSpPr>
      </xdr:nvSpPr>
      <xdr:spPr bwMode="auto">
        <a:xfrm>
          <a:off x="14811375" y="2400300"/>
          <a:ext cx="2924175" cy="666750"/>
        </a:xfrm>
        <a:prstGeom prst="rect">
          <a:avLst/>
        </a:prstGeom>
        <a:solidFill>
          <a:srgbClr val="FFCC00"/>
        </a:solidFill>
        <a:ln w="9525">
          <a:solidFill>
            <a:srgbClr val="000000"/>
          </a:solidFill>
          <a:miter lim="800000"/>
          <a:headEnd/>
          <a:tailEnd/>
        </a:ln>
      </xdr:spPr>
      <xdr:txBody>
        <a:bodyPr vertOverflow="clip" wrap="square" lIns="27432" tIns="22860" rIns="27432" bIns="0" anchor="t" upright="1"/>
        <a:lstStyle/>
        <a:p>
          <a:pPr algn="ctr" rtl="0">
            <a:defRPr sz="1000"/>
          </a:pPr>
          <a:r>
            <a:rPr lang="es-MX" sz="1000" b="0" i="0" u="none" strike="noStrike" baseline="0">
              <a:solidFill>
                <a:srgbClr val="000000"/>
              </a:solidFill>
              <a:latin typeface="Arial"/>
              <a:cs typeface="Arial"/>
            </a:rPr>
            <a:t>Tabla de selección del porcentaje para la</a:t>
          </a:r>
        </a:p>
        <a:p>
          <a:pPr algn="ctr" rtl="0">
            <a:defRPr sz="1000"/>
          </a:pPr>
          <a:r>
            <a:rPr lang="es-MX" sz="1000" b="0" i="0" u="none" strike="noStrike" baseline="0">
              <a:solidFill>
                <a:srgbClr val="000000"/>
              </a:solidFill>
              <a:latin typeface="Arial"/>
              <a:cs typeface="Arial"/>
            </a:rPr>
            <a:t>Cuantía Básica y el Incremento Anual, según</a:t>
          </a:r>
        </a:p>
        <a:p>
          <a:pPr algn="ctr" rtl="0">
            <a:defRPr sz="1000"/>
          </a:pPr>
          <a:r>
            <a:rPr lang="es-MX" sz="1000" b="0" i="0" u="none" strike="noStrike" baseline="0">
              <a:solidFill>
                <a:srgbClr val="000000"/>
              </a:solidFill>
              <a:latin typeface="Arial"/>
              <a:cs typeface="Arial"/>
            </a:rPr>
            <a:t>el rango en el que se encuentre el salario</a:t>
          </a:r>
        </a:p>
        <a:p>
          <a:pPr algn="ctr" rtl="0">
            <a:defRPr sz="1000"/>
          </a:pPr>
          <a:r>
            <a:rPr lang="es-MX" sz="1000" b="0" i="0" u="none" strike="noStrike" baseline="0">
              <a:solidFill>
                <a:srgbClr val="000000"/>
              </a:solidFill>
              <a:latin typeface="Arial"/>
              <a:cs typeface="Arial"/>
            </a:rPr>
            <a:t> con referencia al  salario mínimo</a:t>
          </a:r>
        </a:p>
      </xdr:txBody>
    </xdr:sp>
    <xdr:clientData/>
  </xdr:twoCellAnchor>
  <xdr:twoCellAnchor>
    <xdr:from>
      <xdr:col>51</xdr:col>
      <xdr:colOff>581025</xdr:colOff>
      <xdr:row>143</xdr:row>
      <xdr:rowOff>66675</xdr:rowOff>
    </xdr:from>
    <xdr:to>
      <xdr:col>59</xdr:col>
      <xdr:colOff>123825</xdr:colOff>
      <xdr:row>147</xdr:row>
      <xdr:rowOff>114300</xdr:rowOff>
    </xdr:to>
    <xdr:grpSp>
      <xdr:nvGrpSpPr>
        <xdr:cNvPr id="4117" name="Group 50">
          <a:hlinkClick xmlns:r="http://schemas.openxmlformats.org/officeDocument/2006/relationships" r:id="rId2"/>
          <a:extLst>
            <a:ext uri="{FF2B5EF4-FFF2-40B4-BE49-F238E27FC236}">
              <a16:creationId xmlns:a16="http://schemas.microsoft.com/office/drawing/2014/main" id="{00000000-0008-0000-0000-000015100000}"/>
            </a:ext>
          </a:extLst>
        </xdr:cNvPr>
        <xdr:cNvGrpSpPr>
          <a:grpSpLocks/>
        </xdr:cNvGrpSpPr>
      </xdr:nvGrpSpPr>
      <xdr:grpSpPr bwMode="auto">
        <a:xfrm>
          <a:off x="15989338" y="26927940"/>
          <a:ext cx="3968674" cy="766782"/>
          <a:chOff x="1776" y="146"/>
          <a:chExt cx="460" cy="98"/>
        </a:xfrm>
      </xdr:grpSpPr>
      <xdr:sp macro="" textlink="">
        <xdr:nvSpPr>
          <xdr:cNvPr id="4200" name="AutoShape 51">
            <a:extLst>
              <a:ext uri="{FF2B5EF4-FFF2-40B4-BE49-F238E27FC236}">
                <a16:creationId xmlns:a16="http://schemas.microsoft.com/office/drawing/2014/main" id="{00000000-0008-0000-0000-000068100000}"/>
              </a:ext>
            </a:extLst>
          </xdr:cNvPr>
          <xdr:cNvSpPr>
            <a:spLocks noChangeArrowheads="1"/>
          </xdr:cNvSpPr>
        </xdr:nvSpPr>
        <xdr:spPr bwMode="auto">
          <a:xfrm>
            <a:off x="1776" y="146"/>
            <a:ext cx="460" cy="98"/>
          </a:xfrm>
          <a:prstGeom prst="leftArrow">
            <a:avLst>
              <a:gd name="adj1" fmla="val 50000"/>
              <a:gd name="adj2" fmla="val 117347"/>
            </a:avLst>
          </a:prstGeom>
          <a:solidFill>
            <a:srgbClr val="3366FF"/>
          </a:solidFill>
          <a:ln w="38100">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076" name="Text Box 52">
            <a:extLst>
              <a:ext uri="{FF2B5EF4-FFF2-40B4-BE49-F238E27FC236}">
                <a16:creationId xmlns:a16="http://schemas.microsoft.com/office/drawing/2014/main" id="{00000000-0008-0000-0000-000034040000}"/>
              </a:ext>
            </a:extLst>
          </xdr:cNvPr>
          <xdr:cNvSpPr txBox="1">
            <a:spLocks noChangeArrowheads="1"/>
          </xdr:cNvSpPr>
        </xdr:nvSpPr>
        <xdr:spPr bwMode="auto">
          <a:xfrm>
            <a:off x="1864" y="181"/>
            <a:ext cx="305" cy="26"/>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wrap="none" lIns="27432" tIns="27432" rIns="0" bIns="0" anchor="t" upright="1">
            <a:spAutoFit/>
          </a:bodyPr>
          <a:lstStyle/>
          <a:p>
            <a:pPr algn="l" rtl="0">
              <a:defRPr sz="1000"/>
            </a:pPr>
            <a:r>
              <a:rPr lang="es-MX" sz="1200" b="1" i="0" u="none" strike="noStrike" baseline="0">
                <a:solidFill>
                  <a:srgbClr val="FFFF99"/>
                </a:solidFill>
                <a:latin typeface="Arial"/>
                <a:cs typeface="Arial"/>
              </a:rPr>
              <a:t>Clic AQUÍ para regresar al calculo</a:t>
            </a:r>
          </a:p>
        </xdr:txBody>
      </xdr:sp>
    </xdr:grpSp>
    <xdr:clientData/>
  </xdr:twoCellAnchor>
  <xdr:twoCellAnchor editAs="oneCell">
    <xdr:from>
      <xdr:col>61</xdr:col>
      <xdr:colOff>314325</xdr:colOff>
      <xdr:row>142</xdr:row>
      <xdr:rowOff>47625</xdr:rowOff>
    </xdr:from>
    <xdr:to>
      <xdr:col>64</xdr:col>
      <xdr:colOff>133350</xdr:colOff>
      <xdr:row>143</xdr:row>
      <xdr:rowOff>0</xdr:rowOff>
    </xdr:to>
    <xdr:sp macro="" textlink="">
      <xdr:nvSpPr>
        <xdr:cNvPr id="1084" name="Text Box 60">
          <a:extLst>
            <a:ext uri="{FF2B5EF4-FFF2-40B4-BE49-F238E27FC236}">
              <a16:creationId xmlns:a16="http://schemas.microsoft.com/office/drawing/2014/main" id="{00000000-0008-0000-0000-00003C040000}"/>
            </a:ext>
          </a:extLst>
        </xdr:cNvPr>
        <xdr:cNvSpPr txBox="1">
          <a:spLocks noChangeArrowheads="1"/>
        </xdr:cNvSpPr>
      </xdr:nvSpPr>
      <xdr:spPr bwMode="auto">
        <a:xfrm>
          <a:off x="20983575" y="26765250"/>
          <a:ext cx="1381125" cy="133350"/>
        </a:xfrm>
        <a:prstGeom prst="rect">
          <a:avLst/>
        </a:prstGeom>
        <a:solidFill>
          <a:srgbClr val="C0C0C0"/>
        </a:solidFill>
        <a:ln>
          <a:noFill/>
        </a:ln>
        <a:effectLst/>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22860" rIns="27432" bIns="0" anchor="t" upright="1"/>
        <a:lstStyle/>
        <a:p>
          <a:pPr algn="ctr" rtl="0">
            <a:defRPr sz="1000"/>
          </a:pPr>
          <a:r>
            <a:rPr lang="es-MX" sz="800" b="0" i="0" u="none" strike="noStrike" baseline="0">
              <a:solidFill>
                <a:srgbClr val="000000"/>
              </a:solidFill>
              <a:latin typeface="Arial"/>
              <a:cs typeface="Arial"/>
            </a:rPr>
            <a:t>Total de semanas trabajadas</a:t>
          </a:r>
        </a:p>
      </xdr:txBody>
    </xdr:sp>
    <xdr:clientData/>
  </xdr:twoCellAnchor>
  <xdr:twoCellAnchor>
    <xdr:from>
      <xdr:col>63</xdr:col>
      <xdr:colOff>171450</xdr:colOff>
      <xdr:row>140</xdr:row>
      <xdr:rowOff>123825</xdr:rowOff>
    </xdr:from>
    <xdr:to>
      <xdr:col>65</xdr:col>
      <xdr:colOff>0</xdr:colOff>
      <xdr:row>142</xdr:row>
      <xdr:rowOff>47625</xdr:rowOff>
    </xdr:to>
    <xdr:cxnSp macro="">
      <xdr:nvCxnSpPr>
        <xdr:cNvPr id="4119" name="AutoShape 61">
          <a:extLst>
            <a:ext uri="{FF2B5EF4-FFF2-40B4-BE49-F238E27FC236}">
              <a16:creationId xmlns:a16="http://schemas.microsoft.com/office/drawing/2014/main" id="{00000000-0008-0000-0000-000017100000}"/>
            </a:ext>
          </a:extLst>
        </xdr:cNvPr>
        <xdr:cNvCxnSpPr>
          <a:cxnSpLocks noChangeShapeType="1"/>
          <a:stCxn id="1084" idx="0"/>
        </xdr:cNvCxnSpPr>
      </xdr:nvCxnSpPr>
      <xdr:spPr bwMode="auto">
        <a:xfrm rot="-5400000">
          <a:off x="22083713" y="26074687"/>
          <a:ext cx="285750" cy="1095375"/>
        </a:xfrm>
        <a:prstGeom prst="bentConnector2">
          <a:avLst/>
        </a:prstGeom>
        <a:noFill/>
        <a:ln w="9525">
          <a:solidFill>
            <a:srgbClr val="FFFFFF"/>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editAs="oneCell">
    <xdr:from>
      <xdr:col>67</xdr:col>
      <xdr:colOff>133350</xdr:colOff>
      <xdr:row>142</xdr:row>
      <xdr:rowOff>66675</xdr:rowOff>
    </xdr:from>
    <xdr:to>
      <xdr:col>69</xdr:col>
      <xdr:colOff>457200</xdr:colOff>
      <xdr:row>146</xdr:row>
      <xdr:rowOff>123825</xdr:rowOff>
    </xdr:to>
    <xdr:sp macro="" textlink="">
      <xdr:nvSpPr>
        <xdr:cNvPr id="1086" name="Text Box 62">
          <a:extLst>
            <a:ext uri="{FF2B5EF4-FFF2-40B4-BE49-F238E27FC236}">
              <a16:creationId xmlns:a16="http://schemas.microsoft.com/office/drawing/2014/main" id="{00000000-0008-0000-0000-00003E040000}"/>
            </a:ext>
          </a:extLst>
        </xdr:cNvPr>
        <xdr:cNvSpPr txBox="1">
          <a:spLocks noChangeArrowheads="1"/>
        </xdr:cNvSpPr>
      </xdr:nvSpPr>
      <xdr:spPr bwMode="auto">
        <a:xfrm>
          <a:off x="24298275" y="26784300"/>
          <a:ext cx="771525" cy="781050"/>
        </a:xfrm>
        <a:prstGeom prst="rect">
          <a:avLst/>
        </a:prstGeom>
        <a:solidFill>
          <a:srgbClr val="C0C0C0"/>
        </a:solidFill>
        <a:ln>
          <a:noFill/>
        </a:ln>
        <a:effectLst/>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22860" rIns="27432" bIns="0" anchor="t" upright="1"/>
        <a:lstStyle/>
        <a:p>
          <a:pPr algn="ctr" rtl="0">
            <a:defRPr sz="1000"/>
          </a:pPr>
          <a:r>
            <a:rPr lang="es-MX" sz="800" b="0" i="0" u="none" strike="noStrike" baseline="0">
              <a:solidFill>
                <a:srgbClr val="000000"/>
              </a:solidFill>
              <a:latin typeface="Arial"/>
              <a:cs typeface="Arial"/>
            </a:rPr>
            <a:t>Total percibido con salario tope en el periodo de las 250 semanas</a:t>
          </a:r>
        </a:p>
      </xdr:txBody>
    </xdr:sp>
    <xdr:clientData/>
  </xdr:twoCellAnchor>
  <xdr:twoCellAnchor>
    <xdr:from>
      <xdr:col>1</xdr:col>
      <xdr:colOff>28575</xdr:colOff>
      <xdr:row>1225</xdr:row>
      <xdr:rowOff>38100</xdr:rowOff>
    </xdr:from>
    <xdr:to>
      <xdr:col>1</xdr:col>
      <xdr:colOff>142875</xdr:colOff>
      <xdr:row>1225</xdr:row>
      <xdr:rowOff>133350</xdr:rowOff>
    </xdr:to>
    <xdr:sp macro="" textlink="">
      <xdr:nvSpPr>
        <xdr:cNvPr id="4121" name="AutoShape 67">
          <a:hlinkClick xmlns:r="http://schemas.openxmlformats.org/officeDocument/2006/relationships" r:id="rId3"/>
          <a:extLst>
            <a:ext uri="{FF2B5EF4-FFF2-40B4-BE49-F238E27FC236}">
              <a16:creationId xmlns:a16="http://schemas.microsoft.com/office/drawing/2014/main" id="{00000000-0008-0000-0000-000019100000}"/>
            </a:ext>
          </a:extLst>
        </xdr:cNvPr>
        <xdr:cNvSpPr>
          <a:spLocks noChangeArrowheads="1"/>
        </xdr:cNvSpPr>
      </xdr:nvSpPr>
      <xdr:spPr bwMode="auto">
        <a:xfrm>
          <a:off x="85725" y="205549500"/>
          <a:ext cx="114300" cy="95250"/>
        </a:xfrm>
        <a:prstGeom prst="star4">
          <a:avLst>
            <a:gd name="adj" fmla="val 12500"/>
          </a:avLst>
        </a:prstGeom>
        <a:solidFill>
          <a:srgbClr val="FFFFFF"/>
        </a:solidFill>
        <a:ln>
          <a:noFill/>
        </a:ln>
        <a:effectLst/>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16</xdr:col>
      <xdr:colOff>209550</xdr:colOff>
      <xdr:row>1</xdr:row>
      <xdr:rowOff>180975</xdr:rowOff>
    </xdr:from>
    <xdr:to>
      <xdr:col>16</xdr:col>
      <xdr:colOff>581025</xdr:colOff>
      <xdr:row>2</xdr:row>
      <xdr:rowOff>285750</xdr:rowOff>
    </xdr:to>
    <xdr:pic>
      <xdr:nvPicPr>
        <xdr:cNvPr id="4122" name="Picture 68" descr="imss">
          <a:extLst>
            <a:ext uri="{FF2B5EF4-FFF2-40B4-BE49-F238E27FC236}">
              <a16:creationId xmlns:a16="http://schemas.microsoft.com/office/drawing/2014/main" id="{00000000-0008-0000-0000-00001A1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7772400" y="247650"/>
          <a:ext cx="371475" cy="409575"/>
        </a:xfrm>
        <a:prstGeom prst="rect">
          <a:avLst/>
        </a:prstGeom>
        <a:solidFill>
          <a:srgbClr val="00FF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15</xdr:col>
      <xdr:colOff>571500</xdr:colOff>
      <xdr:row>1</xdr:row>
      <xdr:rowOff>0</xdr:rowOff>
    </xdr:from>
    <xdr:ext cx="749692" cy="155748"/>
    <xdr:sp macro="" textlink="">
      <xdr:nvSpPr>
        <xdr:cNvPr id="1095" name="Text Box 71">
          <a:extLst>
            <a:ext uri="{FF2B5EF4-FFF2-40B4-BE49-F238E27FC236}">
              <a16:creationId xmlns:a16="http://schemas.microsoft.com/office/drawing/2014/main" id="{00000000-0008-0000-0000-000047040000}"/>
            </a:ext>
          </a:extLst>
        </xdr:cNvPr>
        <xdr:cNvSpPr txBox="1">
          <a:spLocks noChangeArrowheads="1"/>
        </xdr:cNvSpPr>
      </xdr:nvSpPr>
      <xdr:spPr bwMode="auto">
        <a:xfrm>
          <a:off x="7543800" y="66675"/>
          <a:ext cx="749692" cy="155748"/>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wrap="none" lIns="18288" tIns="22860" rIns="0" bIns="0" anchor="t" upright="1">
          <a:spAutoFit/>
        </a:bodyPr>
        <a:lstStyle/>
        <a:p>
          <a:pPr algn="l" rtl="0">
            <a:defRPr sz="1000"/>
          </a:pPr>
          <a:r>
            <a:rPr lang="es-MX" sz="900" b="1" i="0" u="none" strike="noStrike" baseline="0">
              <a:solidFill>
                <a:srgbClr val="FFFFFF"/>
              </a:solidFill>
              <a:latin typeface="Arial"/>
              <a:cs typeface="Arial"/>
            </a:rPr>
            <a:t>Revisiòn  G.1</a:t>
          </a:r>
        </a:p>
      </xdr:txBody>
    </xdr:sp>
    <xdr:clientData/>
  </xdr:oneCellAnchor>
  <xdr:twoCellAnchor editAs="oneCell">
    <xdr:from>
      <xdr:col>2</xdr:col>
      <xdr:colOff>552450</xdr:colOff>
      <xdr:row>50</xdr:row>
      <xdr:rowOff>152400</xdr:rowOff>
    </xdr:from>
    <xdr:to>
      <xdr:col>22</xdr:col>
      <xdr:colOff>419100</xdr:colOff>
      <xdr:row>82</xdr:row>
      <xdr:rowOff>114300</xdr:rowOff>
    </xdr:to>
    <xdr:sp macro="" textlink="">
      <xdr:nvSpPr>
        <xdr:cNvPr id="1096" name="Text Box 72">
          <a:extLst>
            <a:ext uri="{FF2B5EF4-FFF2-40B4-BE49-F238E27FC236}">
              <a16:creationId xmlns:a16="http://schemas.microsoft.com/office/drawing/2014/main" id="{00000000-0008-0000-0000-000048040000}"/>
            </a:ext>
          </a:extLst>
        </xdr:cNvPr>
        <xdr:cNvSpPr txBox="1">
          <a:spLocks noChangeArrowheads="1"/>
        </xdr:cNvSpPr>
      </xdr:nvSpPr>
      <xdr:spPr bwMode="auto">
        <a:xfrm>
          <a:off x="1314450" y="10220325"/>
          <a:ext cx="8201025" cy="5753100"/>
        </a:xfrm>
        <a:prstGeom prst="rect">
          <a:avLst/>
        </a:prstGeom>
        <a:solidFill>
          <a:srgbClr val="FFFF66"/>
        </a:solidFill>
        <a:ln w="38100">
          <a:solidFill>
            <a:srgbClr val="3366FF"/>
          </a:solidFill>
          <a:miter lim="800000"/>
          <a:headEnd/>
          <a:tailEnd/>
        </a:ln>
      </xdr:spPr>
      <xdr:txBody>
        <a:bodyPr vertOverflow="clip" wrap="square" lIns="27432" tIns="32004" rIns="0" bIns="0" anchor="t" upright="1"/>
        <a:lstStyle/>
        <a:p>
          <a:pPr algn="l" rtl="0">
            <a:lnSpc>
              <a:spcPts val="2200"/>
            </a:lnSpc>
            <a:defRPr sz="1000"/>
          </a:pPr>
          <a:r>
            <a:rPr lang="es-MX" sz="1000" b="0" i="0" u="none" strike="noStrike" baseline="0">
              <a:solidFill>
                <a:srgbClr val="FF0000"/>
              </a:solidFill>
              <a:latin typeface="Arial Unicode MS"/>
              <a:ea typeface="Arial Unicode MS"/>
              <a:cs typeface="Arial Unicode MS"/>
            </a:rPr>
            <a:t>               </a:t>
          </a:r>
          <a:r>
            <a:rPr lang="es-MX" sz="1400" b="1" i="0" u="none" strike="noStrike" baseline="0">
              <a:solidFill>
                <a:srgbClr val="FF0000"/>
              </a:solidFill>
              <a:latin typeface="Arial Unicode MS"/>
              <a:ea typeface="Arial Unicode MS"/>
              <a:cs typeface="Arial Unicode MS"/>
            </a:rPr>
            <a:t>                      </a:t>
          </a:r>
          <a:r>
            <a:rPr lang="es-MX" sz="1400" b="1" i="0" u="none" strike="noStrike" baseline="0">
              <a:solidFill>
                <a:srgbClr val="000000"/>
              </a:solidFill>
              <a:latin typeface="Arial Unicode MS"/>
              <a:ea typeface="Arial Unicode MS"/>
              <a:cs typeface="Arial Unicode MS"/>
            </a:rPr>
            <a:t>                  Algoritmo del cálculo:</a:t>
          </a:r>
          <a:endParaRPr lang="es-MX" sz="1000" b="0" i="0" u="none" strike="noStrike" baseline="0">
            <a:solidFill>
              <a:srgbClr val="FF0000"/>
            </a:solidFill>
            <a:latin typeface="Arial Unicode MS"/>
            <a:ea typeface="Arial Unicode MS"/>
            <a:cs typeface="Arial Unicode MS"/>
          </a:endParaRPr>
        </a:p>
        <a:p>
          <a:pPr algn="l" rtl="0">
            <a:lnSpc>
              <a:spcPts val="1500"/>
            </a:lnSpc>
            <a:defRPr sz="1000"/>
          </a:pPr>
          <a:r>
            <a:rPr lang="es-MX" sz="1000" b="0" i="0" u="none" strike="noStrike" baseline="0">
              <a:solidFill>
                <a:srgbClr val="FF0000"/>
              </a:solidFill>
              <a:latin typeface="Arial Unicode MS"/>
              <a:ea typeface="Arial Unicode MS"/>
              <a:cs typeface="Arial Unicode MS"/>
            </a:rPr>
            <a:t> </a:t>
          </a:r>
          <a:r>
            <a:rPr lang="es-MX" sz="1000" b="1" i="0" u="none" strike="noStrike" baseline="0">
              <a:solidFill>
                <a:srgbClr val="FF0000"/>
              </a:solidFill>
              <a:latin typeface="Arial Unicode MS"/>
              <a:ea typeface="Arial Unicode MS"/>
              <a:cs typeface="Arial Unicode MS"/>
            </a:rPr>
            <a:t>Se llama </a:t>
          </a:r>
          <a:r>
            <a:rPr lang="es-MX" sz="1000" b="1" i="0" u="none" strike="noStrike" baseline="0">
              <a:solidFill>
                <a:srgbClr val="000000"/>
              </a:solidFill>
              <a:latin typeface="Arial Unicode MS"/>
              <a:ea typeface="Arial Unicode MS"/>
              <a:cs typeface="Arial Unicode MS"/>
            </a:rPr>
            <a:t>Cuantía Básica  </a:t>
          </a:r>
          <a:r>
            <a:rPr lang="es-MX" sz="1000" b="1" i="0" u="none" strike="noStrike" baseline="0">
              <a:solidFill>
                <a:srgbClr val="FF0000"/>
              </a:solidFill>
              <a:latin typeface="Arial Unicode MS"/>
              <a:ea typeface="Arial Unicode MS"/>
              <a:cs typeface="Arial Unicode MS"/>
            </a:rPr>
            <a:t>al salario diario promedio de las últimas 250 semanas cotizadas, multiplicado por los 365 días del año y reducido todo esto a un porcentaje,  (el cual varia dependiendo la cantidad de veces que represente el salario diario promedio  de las ultimas 250 semanas cotizadas respecto al salario mínimo vigente del DF; ver tabla de selecciòn de porentajes para la Cuantìa Bàsica en base de datos).</a:t>
          </a:r>
        </a:p>
        <a:p>
          <a:pPr algn="l" rtl="0">
            <a:lnSpc>
              <a:spcPts val="1600"/>
            </a:lnSpc>
            <a:defRPr sz="1000"/>
          </a:pPr>
          <a:r>
            <a:rPr lang="es-MX" sz="1000" b="1" i="0" u="none" strike="noStrike" baseline="0">
              <a:solidFill>
                <a:srgbClr val="FF0000"/>
              </a:solidFill>
              <a:latin typeface="Arial Unicode MS"/>
              <a:ea typeface="Arial Unicode MS"/>
              <a:cs typeface="Arial Unicode MS"/>
            </a:rPr>
            <a:t>Se llama  </a:t>
          </a:r>
          <a:r>
            <a:rPr lang="es-MX" sz="1000" b="1" i="0" u="none" strike="noStrike" baseline="0">
              <a:solidFill>
                <a:srgbClr val="000000"/>
              </a:solidFill>
              <a:latin typeface="Arial Unicode MS"/>
              <a:ea typeface="Arial Unicode MS"/>
              <a:cs typeface="Arial Unicode MS"/>
            </a:rPr>
            <a:t>Incremento Anual</a:t>
          </a:r>
          <a:r>
            <a:rPr lang="es-MX" sz="1000" b="1" i="0" u="none" strike="noStrike" baseline="0">
              <a:solidFill>
                <a:srgbClr val="FF0000"/>
              </a:solidFill>
              <a:latin typeface="Arial Unicode MS"/>
              <a:ea typeface="Arial Unicode MS"/>
              <a:cs typeface="Arial Unicode MS"/>
            </a:rPr>
            <a:t>  al excedente de semanas cotizadas que rebasa las 500, dividiéndose esta diferencia entre 52 para obtener los años excedentes, (redondeando la parte fraccionaria de esta división según criterios de esta ley, ver criterios de redondeo en base de datos ); y reducido todo esto a un porcentaje,  (el cual varia dependiendo la cantidad de veces que represente el salario diario promedio  de las ultimas 250 semanas cotizadas respecto al salario mínimo vigente del DF; ver tabla de selecciòn de porentajes  para el Incremento Anual en base de dato). </a:t>
          </a:r>
        </a:p>
        <a:p>
          <a:pPr algn="l" rtl="0">
            <a:lnSpc>
              <a:spcPts val="1500"/>
            </a:lnSpc>
            <a:defRPr sz="1000"/>
          </a:pPr>
          <a:r>
            <a:rPr lang="es-MX" sz="1000" b="1" i="0" u="none" strike="noStrike" baseline="0">
              <a:solidFill>
                <a:srgbClr val="FF0000"/>
              </a:solidFill>
              <a:latin typeface="Arial Unicode MS"/>
              <a:ea typeface="Arial Unicode MS"/>
              <a:cs typeface="Arial Unicode MS"/>
            </a:rPr>
            <a:t>A la suma de la Cuantía Básica y el Incremento Anual se reduce a un porcentaje en base a  la edad del  candidato a pensionarse, (Ver tabla de porcentajes en base de datos), A este resultado se le incrementa un porcentaje que dependerá de las asignaciones familiares y/o ayudas asistenciales bajo los siguientes conceptos:</a:t>
          </a:r>
        </a:p>
        <a:p>
          <a:pPr algn="l" rtl="0">
            <a:lnSpc>
              <a:spcPts val="1600"/>
            </a:lnSpc>
            <a:defRPr sz="1000"/>
          </a:pPr>
          <a:r>
            <a:rPr lang="es-MX" sz="1000" b="1" i="0" u="none" strike="noStrike" baseline="0">
              <a:solidFill>
                <a:srgbClr val="000000"/>
              </a:solidFill>
              <a:latin typeface="Arial Unicode MS"/>
              <a:ea typeface="Arial Unicode MS"/>
              <a:cs typeface="Arial Unicode MS"/>
            </a:rPr>
            <a:t>Asignaciones Familiares:</a:t>
          </a:r>
          <a:endParaRPr lang="es-MX" sz="1000" b="1" i="0" u="none" strike="noStrike" baseline="0">
            <a:solidFill>
              <a:srgbClr val="FF0000"/>
            </a:solidFill>
            <a:latin typeface="Arial Unicode MS"/>
            <a:ea typeface="Arial Unicode MS"/>
            <a:cs typeface="Arial Unicode MS"/>
          </a:endParaRPr>
        </a:p>
        <a:p>
          <a:pPr algn="l" rtl="0">
            <a:lnSpc>
              <a:spcPts val="1500"/>
            </a:lnSpc>
            <a:defRPr sz="1000"/>
          </a:pPr>
          <a:r>
            <a:rPr lang="es-MX" sz="1000" b="1" i="0" u="none" strike="noStrike" baseline="0">
              <a:solidFill>
                <a:srgbClr val="FF0000"/>
              </a:solidFill>
              <a:latin typeface="Arial Unicode MS"/>
              <a:ea typeface="Arial Unicode MS"/>
              <a:cs typeface="Arial Unicode MS"/>
            </a:rPr>
            <a:t>-15% por Esposa o concubina.</a:t>
          </a:r>
        </a:p>
        <a:p>
          <a:pPr algn="l" rtl="0">
            <a:lnSpc>
              <a:spcPts val="1600"/>
            </a:lnSpc>
            <a:defRPr sz="1000"/>
          </a:pPr>
          <a:r>
            <a:rPr lang="es-MX" sz="1000" b="1" i="0" u="none" strike="noStrike" baseline="0">
              <a:solidFill>
                <a:srgbClr val="FF0000"/>
              </a:solidFill>
              <a:latin typeface="Arial Unicode MS"/>
              <a:ea typeface="Arial Unicode MS"/>
              <a:cs typeface="Arial Unicode MS"/>
            </a:rPr>
            <a:t>-10% por cada hijo menor de 16 años y/o entre 16 y 25 que demuestren que están estudiando,o Hijos declarados   </a:t>
          </a:r>
        </a:p>
        <a:p>
          <a:pPr algn="l" rtl="0">
            <a:lnSpc>
              <a:spcPts val="1500"/>
            </a:lnSpc>
            <a:defRPr sz="1000"/>
          </a:pPr>
          <a:r>
            <a:rPr lang="es-MX" sz="1000" b="1" i="0" u="none" strike="noStrike" baseline="0">
              <a:solidFill>
                <a:srgbClr val="FF0000"/>
              </a:solidFill>
              <a:latin typeface="Arial Unicode MS"/>
              <a:ea typeface="Arial Unicode MS"/>
              <a:cs typeface="Arial Unicode MS"/>
            </a:rPr>
            <a:t>  incapacitados por la ley.</a:t>
          </a:r>
        </a:p>
        <a:p>
          <a:pPr algn="l" rtl="0">
            <a:lnSpc>
              <a:spcPts val="1600"/>
            </a:lnSpc>
            <a:defRPr sz="1000"/>
          </a:pPr>
          <a:r>
            <a:rPr lang="es-MX" sz="1000" b="1" i="0" u="none" strike="noStrike" baseline="0">
              <a:solidFill>
                <a:srgbClr val="FF0000"/>
              </a:solidFill>
              <a:latin typeface="Arial Unicode MS"/>
              <a:ea typeface="Arial Unicode MS"/>
              <a:cs typeface="Arial Unicode MS"/>
            </a:rPr>
            <a:t>-10% por cada padre si depende economicamente del pensionado. Y solo sì no se tiene Esoposa o Hijos con las  </a:t>
          </a:r>
        </a:p>
        <a:p>
          <a:pPr algn="l" rtl="0">
            <a:lnSpc>
              <a:spcPts val="1500"/>
            </a:lnSpc>
            <a:defRPr sz="1000"/>
          </a:pPr>
          <a:r>
            <a:rPr lang="es-MX" sz="1000" b="1" i="0" u="none" strike="noStrike" baseline="0">
              <a:solidFill>
                <a:srgbClr val="FF0000"/>
              </a:solidFill>
              <a:latin typeface="Arial Unicode MS"/>
              <a:ea typeface="Arial Unicode MS"/>
              <a:cs typeface="Arial Unicode MS"/>
            </a:rPr>
            <a:t>  caracteristicas mencionadas.</a:t>
          </a:r>
        </a:p>
        <a:p>
          <a:pPr algn="l" rtl="0">
            <a:lnSpc>
              <a:spcPts val="1600"/>
            </a:lnSpc>
            <a:defRPr sz="1000"/>
          </a:pPr>
          <a:r>
            <a:rPr lang="es-MX" sz="1000" b="1" i="0" u="none" strike="noStrike" baseline="0">
              <a:solidFill>
                <a:srgbClr val="FF0000"/>
              </a:solidFill>
              <a:latin typeface="Arial Unicode MS"/>
              <a:ea typeface="Arial Unicode MS"/>
              <a:cs typeface="Arial Unicode MS"/>
            </a:rPr>
            <a:t> </a:t>
          </a:r>
          <a:r>
            <a:rPr lang="es-MX" sz="1000" b="1" i="0" u="none" strike="noStrike" baseline="0">
              <a:solidFill>
                <a:srgbClr val="000000"/>
              </a:solidFill>
              <a:latin typeface="Arial Unicode MS"/>
              <a:ea typeface="Arial Unicode MS"/>
              <a:cs typeface="Arial Unicode MS"/>
            </a:rPr>
            <a:t>Ayudas asistenciales:</a:t>
          </a:r>
          <a:endParaRPr lang="es-MX" sz="1000" b="1" i="0" u="none" strike="noStrike" baseline="0">
            <a:solidFill>
              <a:srgbClr val="FF0000"/>
            </a:solidFill>
            <a:latin typeface="Arial Unicode MS"/>
            <a:ea typeface="Arial Unicode MS"/>
            <a:cs typeface="Arial Unicode MS"/>
          </a:endParaRPr>
        </a:p>
        <a:p>
          <a:pPr algn="l" rtl="0">
            <a:lnSpc>
              <a:spcPts val="1500"/>
            </a:lnSpc>
            <a:defRPr sz="1000"/>
          </a:pPr>
          <a:r>
            <a:rPr lang="es-MX" sz="1000" b="1" i="0" u="none" strike="noStrike" baseline="0">
              <a:solidFill>
                <a:srgbClr val="FF0000"/>
              </a:solidFill>
              <a:latin typeface="Arial Unicode MS"/>
              <a:ea typeface="Arial Unicode MS"/>
              <a:cs typeface="Arial Unicode MS"/>
            </a:rPr>
            <a:t>-15% de soledad si no se tiene Esposa e Hijos y padres,(ò,que se tengan padres que no dependan economicamente del pensionado)</a:t>
          </a:r>
        </a:p>
        <a:p>
          <a:pPr algn="l" rtl="0">
            <a:lnSpc>
              <a:spcPts val="1600"/>
            </a:lnSpc>
            <a:defRPr sz="1000"/>
          </a:pPr>
          <a:r>
            <a:rPr lang="es-MX" sz="1000" b="1" i="0" u="none" strike="noStrike" baseline="0">
              <a:solidFill>
                <a:srgbClr val="FF0000"/>
              </a:solidFill>
              <a:latin typeface="Arial Unicode MS"/>
              <a:ea typeface="Arial Unicode MS"/>
              <a:cs typeface="Arial Unicode MS"/>
            </a:rPr>
            <a:t>-10% si se acreditò la sobrevivencia de un solo padre en el rubro de asignaciòn Familiar</a:t>
          </a:r>
        </a:p>
        <a:p>
          <a:pPr algn="l" rtl="0">
            <a:lnSpc>
              <a:spcPts val="1500"/>
            </a:lnSpc>
            <a:defRPr sz="1000"/>
          </a:pPr>
          <a:r>
            <a:rPr lang="es-MX" sz="1000" b="1" i="0" u="none" strike="noStrike" baseline="0">
              <a:solidFill>
                <a:srgbClr val="FF0000"/>
              </a:solidFill>
              <a:latin typeface="Arial Unicode MS"/>
              <a:ea typeface="Arial Unicode MS"/>
              <a:cs typeface="Arial Unicode MS"/>
            </a:rPr>
            <a:t>-20% si el pensionado se encuentra declarado incapacitado conforme a esta ley</a:t>
          </a:r>
        </a:p>
        <a:p>
          <a:pPr algn="l" rtl="0">
            <a:lnSpc>
              <a:spcPts val="1600"/>
            </a:lnSpc>
            <a:defRPr sz="1000"/>
          </a:pPr>
          <a:r>
            <a:rPr lang="es-MX" sz="1000" b="1" i="0" u="none" strike="noStrike" baseline="0">
              <a:solidFill>
                <a:srgbClr val="FF0000"/>
              </a:solidFill>
              <a:latin typeface="Arial Unicode MS"/>
              <a:ea typeface="Arial Unicode MS"/>
              <a:cs typeface="Arial Unicode MS"/>
            </a:rPr>
            <a:t>Finalmente a esta cantidad se le incrementa un 11% por decreto del 5 de enero   del 2004 en el Diario Oficial de la Federación; </a:t>
          </a:r>
        </a:p>
        <a:p>
          <a:pPr algn="l" rtl="0">
            <a:lnSpc>
              <a:spcPts val="1500"/>
            </a:lnSpc>
            <a:defRPr sz="1000"/>
          </a:pPr>
          <a:r>
            <a:rPr lang="es-MX" sz="1000" b="1" i="0" u="none" strike="noStrike" baseline="0">
              <a:solidFill>
                <a:srgbClr val="FF0000"/>
              </a:solidFill>
              <a:latin typeface="Arial Unicode MS"/>
              <a:ea typeface="Arial Unicode MS"/>
              <a:cs typeface="Arial Unicode MS"/>
            </a:rPr>
            <a:t>Esta cantida se divide entre 12 para obtener el monto mensual.</a:t>
          </a:r>
        </a:p>
        <a:p>
          <a:pPr algn="l" rtl="0">
            <a:lnSpc>
              <a:spcPts val="1600"/>
            </a:lnSpc>
            <a:defRPr sz="1000"/>
          </a:pPr>
          <a:r>
            <a:rPr lang="es-MX" sz="1000" b="1" i="0" u="none" strike="noStrike" baseline="0">
              <a:solidFill>
                <a:srgbClr val="FF0000"/>
              </a:solidFill>
              <a:latin typeface="Arial Unicode MS"/>
              <a:ea typeface="Arial Unicode MS"/>
              <a:cs typeface="Arial Unicode MS"/>
            </a:rPr>
            <a:t>Para años posteriores a la fecha actual el salario mínimo esta estimado con incrementos automáticos del 4% anual y el tope salarial se mantiene en 25 veces el salario mínimo del D.F.</a:t>
          </a:r>
        </a:p>
        <a:p>
          <a:pPr algn="l" rtl="0">
            <a:lnSpc>
              <a:spcPts val="1500"/>
            </a:lnSpc>
            <a:defRPr sz="1000"/>
          </a:pPr>
          <a:endParaRPr lang="es-MX" sz="1000" b="1" i="0" u="none" strike="noStrike" baseline="0">
            <a:solidFill>
              <a:srgbClr val="FF0000"/>
            </a:solidFill>
            <a:latin typeface="Arial Unicode MS"/>
            <a:ea typeface="Arial Unicode MS"/>
            <a:cs typeface="Arial Unicode MS"/>
          </a:endParaRPr>
        </a:p>
        <a:p>
          <a:pPr algn="l" rtl="0">
            <a:lnSpc>
              <a:spcPts val="1500"/>
            </a:lnSpc>
            <a:defRPr sz="1000"/>
          </a:pPr>
          <a:endParaRPr lang="es-MX" sz="1000" b="1" i="0" u="none" strike="noStrike" baseline="0">
            <a:solidFill>
              <a:srgbClr val="FF0000"/>
            </a:solidFill>
            <a:latin typeface="Arial Unicode MS"/>
            <a:ea typeface="Arial Unicode MS"/>
            <a:cs typeface="Arial Unicode MS"/>
          </a:endParaRPr>
        </a:p>
        <a:p>
          <a:pPr algn="l" rtl="0">
            <a:lnSpc>
              <a:spcPts val="1500"/>
            </a:lnSpc>
            <a:defRPr sz="1000"/>
          </a:pPr>
          <a:endParaRPr lang="es-MX" sz="1000" b="1" i="0" u="none" strike="noStrike" baseline="0">
            <a:solidFill>
              <a:srgbClr val="FF0000"/>
            </a:solidFill>
            <a:latin typeface="Arial Unicode MS"/>
            <a:ea typeface="Arial Unicode MS"/>
            <a:cs typeface="Arial Unicode MS"/>
          </a:endParaRPr>
        </a:p>
      </xdr:txBody>
    </xdr:sp>
    <xdr:clientData/>
  </xdr:twoCellAnchor>
  <xdr:twoCellAnchor>
    <xdr:from>
      <xdr:col>54</xdr:col>
      <xdr:colOff>142875</xdr:colOff>
      <xdr:row>7</xdr:row>
      <xdr:rowOff>228600</xdr:rowOff>
    </xdr:from>
    <xdr:to>
      <xdr:col>61</xdr:col>
      <xdr:colOff>114300</xdr:colOff>
      <xdr:row>7</xdr:row>
      <xdr:rowOff>971550</xdr:rowOff>
    </xdr:to>
    <xdr:grpSp>
      <xdr:nvGrpSpPr>
        <xdr:cNvPr id="4125" name="Group 98">
          <a:hlinkClick xmlns:r="http://schemas.openxmlformats.org/officeDocument/2006/relationships" r:id="rId2"/>
          <a:extLst>
            <a:ext uri="{FF2B5EF4-FFF2-40B4-BE49-F238E27FC236}">
              <a16:creationId xmlns:a16="http://schemas.microsoft.com/office/drawing/2014/main" id="{00000000-0008-0000-0000-00001D100000}"/>
            </a:ext>
          </a:extLst>
        </xdr:cNvPr>
        <xdr:cNvGrpSpPr>
          <a:grpSpLocks/>
        </xdr:cNvGrpSpPr>
      </xdr:nvGrpSpPr>
      <xdr:grpSpPr bwMode="auto">
        <a:xfrm>
          <a:off x="17708658" y="1181100"/>
          <a:ext cx="3938262" cy="742950"/>
          <a:chOff x="1776" y="146"/>
          <a:chExt cx="460" cy="98"/>
        </a:xfrm>
      </xdr:grpSpPr>
      <xdr:sp macro="" textlink="">
        <xdr:nvSpPr>
          <xdr:cNvPr id="4198" name="AutoShape 99">
            <a:extLst>
              <a:ext uri="{FF2B5EF4-FFF2-40B4-BE49-F238E27FC236}">
                <a16:creationId xmlns:a16="http://schemas.microsoft.com/office/drawing/2014/main" id="{00000000-0008-0000-0000-000066100000}"/>
              </a:ext>
            </a:extLst>
          </xdr:cNvPr>
          <xdr:cNvSpPr>
            <a:spLocks noChangeArrowheads="1"/>
          </xdr:cNvSpPr>
        </xdr:nvSpPr>
        <xdr:spPr bwMode="auto">
          <a:xfrm>
            <a:off x="1776" y="146"/>
            <a:ext cx="460" cy="98"/>
          </a:xfrm>
          <a:prstGeom prst="leftArrow">
            <a:avLst>
              <a:gd name="adj1" fmla="val 50000"/>
              <a:gd name="adj2" fmla="val 117347"/>
            </a:avLst>
          </a:prstGeom>
          <a:solidFill>
            <a:srgbClr val="3366FF"/>
          </a:solidFill>
          <a:ln w="38100">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124" name="Text Box 100">
            <a:extLst>
              <a:ext uri="{FF2B5EF4-FFF2-40B4-BE49-F238E27FC236}">
                <a16:creationId xmlns:a16="http://schemas.microsoft.com/office/drawing/2014/main" id="{00000000-0008-0000-0000-000064040000}"/>
              </a:ext>
            </a:extLst>
          </xdr:cNvPr>
          <xdr:cNvSpPr txBox="1">
            <a:spLocks noChangeArrowheads="1"/>
          </xdr:cNvSpPr>
        </xdr:nvSpPr>
        <xdr:spPr bwMode="auto">
          <a:xfrm>
            <a:off x="1888" y="181"/>
            <a:ext cx="307" cy="27"/>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wrap="none" lIns="27432" tIns="27432" rIns="0" bIns="0" anchor="t" upright="1">
            <a:spAutoFit/>
          </a:bodyPr>
          <a:lstStyle/>
          <a:p>
            <a:pPr algn="l" rtl="0">
              <a:defRPr sz="1000"/>
            </a:pPr>
            <a:r>
              <a:rPr lang="es-MX" sz="1200" b="1" i="0" u="none" strike="noStrike" baseline="0">
                <a:solidFill>
                  <a:srgbClr val="FFFF99"/>
                </a:solidFill>
                <a:latin typeface="Arial"/>
                <a:cs typeface="Arial"/>
              </a:rPr>
              <a:t>Clic AQUÍ para regresar al calculo</a:t>
            </a:r>
          </a:p>
        </xdr:txBody>
      </xdr:sp>
    </xdr:grpSp>
    <xdr:clientData/>
  </xdr:twoCellAnchor>
  <xdr:twoCellAnchor>
    <xdr:from>
      <xdr:col>3</xdr:col>
      <xdr:colOff>0</xdr:colOff>
      <xdr:row>15</xdr:row>
      <xdr:rowOff>66675</xdr:rowOff>
    </xdr:from>
    <xdr:to>
      <xdr:col>5</xdr:col>
      <xdr:colOff>19050</xdr:colOff>
      <xdr:row>25</xdr:row>
      <xdr:rowOff>38100</xdr:rowOff>
    </xdr:to>
    <xdr:sp macro="" textlink="">
      <xdr:nvSpPr>
        <xdr:cNvPr id="4126" name="AutoShape 4">
          <a:extLst>
            <a:ext uri="{FF2B5EF4-FFF2-40B4-BE49-F238E27FC236}">
              <a16:creationId xmlns:a16="http://schemas.microsoft.com/office/drawing/2014/main" id="{00000000-0008-0000-0000-00001E100000}"/>
            </a:ext>
          </a:extLst>
        </xdr:cNvPr>
        <xdr:cNvSpPr>
          <a:spLocks/>
        </xdr:cNvSpPr>
      </xdr:nvSpPr>
      <xdr:spPr bwMode="auto">
        <a:xfrm>
          <a:off x="1514475" y="4419600"/>
          <a:ext cx="133350" cy="1466850"/>
        </a:xfrm>
        <a:prstGeom prst="leftBrace">
          <a:avLst>
            <a:gd name="adj1" fmla="val 91667"/>
            <a:gd name="adj2" fmla="val 49412"/>
          </a:avLst>
        </a:prstGeom>
        <a:noFill/>
        <a:ln w="19050">
          <a:solidFill>
            <a:srgbClr val="FFFFFF"/>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7</xdr:col>
      <xdr:colOff>381000</xdr:colOff>
      <xdr:row>45</xdr:row>
      <xdr:rowOff>66675</xdr:rowOff>
    </xdr:from>
    <xdr:to>
      <xdr:col>15</xdr:col>
      <xdr:colOff>200025</xdr:colOff>
      <xdr:row>49</xdr:row>
      <xdr:rowOff>95250</xdr:rowOff>
    </xdr:to>
    <xdr:grpSp>
      <xdr:nvGrpSpPr>
        <xdr:cNvPr id="4127" name="Group 179">
          <a:hlinkClick xmlns:r="http://schemas.openxmlformats.org/officeDocument/2006/relationships" r:id="rId2"/>
          <a:extLst>
            <a:ext uri="{FF2B5EF4-FFF2-40B4-BE49-F238E27FC236}">
              <a16:creationId xmlns:a16="http://schemas.microsoft.com/office/drawing/2014/main" id="{00000000-0008-0000-0000-00001F100000}"/>
            </a:ext>
          </a:extLst>
        </xdr:cNvPr>
        <xdr:cNvGrpSpPr>
          <a:grpSpLocks/>
        </xdr:cNvGrpSpPr>
      </xdr:nvGrpSpPr>
      <xdr:grpSpPr bwMode="auto">
        <a:xfrm>
          <a:off x="3020458" y="9308603"/>
          <a:ext cx="4478242" cy="747731"/>
          <a:chOff x="1776" y="146"/>
          <a:chExt cx="460" cy="98"/>
        </a:xfrm>
      </xdr:grpSpPr>
      <xdr:sp macro="" textlink="">
        <xdr:nvSpPr>
          <xdr:cNvPr id="4196" name="AutoShape 180">
            <a:extLst>
              <a:ext uri="{FF2B5EF4-FFF2-40B4-BE49-F238E27FC236}">
                <a16:creationId xmlns:a16="http://schemas.microsoft.com/office/drawing/2014/main" id="{00000000-0008-0000-0000-000064100000}"/>
              </a:ext>
            </a:extLst>
          </xdr:cNvPr>
          <xdr:cNvSpPr>
            <a:spLocks noChangeArrowheads="1"/>
          </xdr:cNvSpPr>
        </xdr:nvSpPr>
        <xdr:spPr bwMode="auto">
          <a:xfrm>
            <a:off x="1776" y="146"/>
            <a:ext cx="460" cy="98"/>
          </a:xfrm>
          <a:prstGeom prst="leftArrow">
            <a:avLst>
              <a:gd name="adj1" fmla="val 50000"/>
              <a:gd name="adj2" fmla="val 117347"/>
            </a:avLst>
          </a:prstGeom>
          <a:solidFill>
            <a:srgbClr val="3366FF"/>
          </a:solidFill>
          <a:ln w="38100">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205" name="Text Box 181">
            <a:extLst>
              <a:ext uri="{FF2B5EF4-FFF2-40B4-BE49-F238E27FC236}">
                <a16:creationId xmlns:a16="http://schemas.microsoft.com/office/drawing/2014/main" id="{00000000-0008-0000-0000-0000B5040000}"/>
              </a:ext>
            </a:extLst>
          </xdr:cNvPr>
          <xdr:cNvSpPr txBox="1">
            <a:spLocks noChangeArrowheads="1"/>
          </xdr:cNvSpPr>
        </xdr:nvSpPr>
        <xdr:spPr bwMode="auto">
          <a:xfrm>
            <a:off x="1860" y="177"/>
            <a:ext cx="270" cy="27"/>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wrap="none" lIns="27432" tIns="27432" rIns="0" bIns="0" anchor="t" upright="1">
            <a:spAutoFit/>
          </a:bodyPr>
          <a:lstStyle/>
          <a:p>
            <a:pPr algn="l" rtl="0">
              <a:defRPr sz="1000"/>
            </a:pPr>
            <a:r>
              <a:rPr lang="es-MX" sz="1200" b="1" i="0" u="none" strike="noStrike" baseline="0">
                <a:solidFill>
                  <a:srgbClr val="FFFF99"/>
                </a:solidFill>
                <a:latin typeface="Arial"/>
                <a:cs typeface="Arial"/>
              </a:rPr>
              <a:t>Clic AQUÍ para regresar al calculo</a:t>
            </a:r>
          </a:p>
        </xdr:txBody>
      </xdr:sp>
    </xdr:grpSp>
    <xdr:clientData/>
  </xdr:twoCellAnchor>
  <xdr:twoCellAnchor editAs="oneCell">
    <xdr:from>
      <xdr:col>2</xdr:col>
      <xdr:colOff>685800</xdr:colOff>
      <xdr:row>72</xdr:row>
      <xdr:rowOff>152400</xdr:rowOff>
    </xdr:from>
    <xdr:to>
      <xdr:col>3</xdr:col>
      <xdr:colOff>9525</xdr:colOff>
      <xdr:row>73</xdr:row>
      <xdr:rowOff>171450</xdr:rowOff>
    </xdr:to>
    <xdr:sp macro="" textlink="">
      <xdr:nvSpPr>
        <xdr:cNvPr id="4128" name="Text Box 200">
          <a:extLst>
            <a:ext uri="{FF2B5EF4-FFF2-40B4-BE49-F238E27FC236}">
              <a16:creationId xmlns:a16="http://schemas.microsoft.com/office/drawing/2014/main" id="{00000000-0008-0000-0000-000020100000}"/>
            </a:ext>
          </a:extLst>
        </xdr:cNvPr>
        <xdr:cNvSpPr txBox="1">
          <a:spLocks noChangeArrowheads="1"/>
        </xdr:cNvSpPr>
      </xdr:nvSpPr>
      <xdr:spPr bwMode="auto">
        <a:xfrm>
          <a:off x="1447800" y="14201775"/>
          <a:ext cx="76200" cy="20002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2</xdr:col>
      <xdr:colOff>552450</xdr:colOff>
      <xdr:row>94</xdr:row>
      <xdr:rowOff>142875</xdr:rowOff>
    </xdr:from>
    <xdr:to>
      <xdr:col>24</xdr:col>
      <xdr:colOff>219075</xdr:colOff>
      <xdr:row>125</xdr:row>
      <xdr:rowOff>38100</xdr:rowOff>
    </xdr:to>
    <xdr:sp macro="" textlink="">
      <xdr:nvSpPr>
        <xdr:cNvPr id="1231" name="Text Box 207">
          <a:extLst>
            <a:ext uri="{FF2B5EF4-FFF2-40B4-BE49-F238E27FC236}">
              <a16:creationId xmlns:a16="http://schemas.microsoft.com/office/drawing/2014/main" id="{00000000-0008-0000-0000-0000CF040000}"/>
            </a:ext>
          </a:extLst>
        </xdr:cNvPr>
        <xdr:cNvSpPr txBox="1">
          <a:spLocks noChangeArrowheads="1"/>
        </xdr:cNvSpPr>
      </xdr:nvSpPr>
      <xdr:spPr bwMode="auto">
        <a:xfrm>
          <a:off x="1314450" y="18173700"/>
          <a:ext cx="8972550" cy="5505450"/>
        </a:xfrm>
        <a:prstGeom prst="rect">
          <a:avLst/>
        </a:prstGeom>
        <a:solidFill>
          <a:srgbClr val="3366FF"/>
        </a:solidFill>
        <a:ln w="57150">
          <a:solidFill>
            <a:srgbClr val="FF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27432" rIns="0" bIns="0" anchor="t" upright="1"/>
        <a:lstStyle/>
        <a:p>
          <a:pPr algn="l" rtl="0">
            <a:lnSpc>
              <a:spcPts val="1100"/>
            </a:lnSpc>
            <a:defRPr sz="1000"/>
          </a:pPr>
          <a:r>
            <a:rPr lang="es-MX" sz="1200" b="1" i="0" u="none" strike="noStrike" baseline="0">
              <a:solidFill>
                <a:srgbClr val="FFFFFF"/>
              </a:solidFill>
              <a:latin typeface="Arial"/>
              <a:cs typeface="Arial"/>
            </a:rPr>
            <a:t>                                             </a:t>
          </a:r>
          <a:r>
            <a:rPr lang="es-MX" sz="1600" b="1" i="0" u="none" strike="noStrike" baseline="0">
              <a:solidFill>
                <a:srgbClr val="FFFFFF"/>
              </a:solidFill>
              <a:latin typeface="Arial"/>
              <a:cs typeface="Arial"/>
            </a:rPr>
            <a:t>  </a:t>
          </a:r>
          <a:r>
            <a:rPr lang="es-MX" sz="1600" b="1" i="0" u="none" strike="noStrike" baseline="0">
              <a:solidFill>
                <a:srgbClr val="FFFF00"/>
              </a:solidFill>
              <a:latin typeface="Arial"/>
              <a:cs typeface="Arial"/>
            </a:rPr>
            <a:t>        CARACTERÍSTICAS DEL SIMULADOR</a:t>
          </a:r>
        </a:p>
        <a:p>
          <a:pPr algn="l" rtl="0">
            <a:defRPr sz="1000"/>
          </a:pPr>
          <a:endParaRPr lang="es-MX" sz="1200" b="1" i="0" u="none" strike="noStrike" baseline="0">
            <a:solidFill>
              <a:srgbClr val="FFFFFF"/>
            </a:solidFill>
            <a:latin typeface="Arial"/>
            <a:cs typeface="Arial"/>
          </a:endParaRPr>
        </a:p>
        <a:p>
          <a:pPr algn="l" rtl="0">
            <a:defRPr sz="1000"/>
          </a:pPr>
          <a:r>
            <a:rPr lang="es-MX" sz="1200" b="1" i="0" u="none" strike="noStrike" baseline="0">
              <a:solidFill>
                <a:srgbClr val="FFFFFF"/>
              </a:solidFill>
              <a:latin typeface="Arial"/>
              <a:cs typeface="Arial"/>
            </a:rPr>
            <a:t> </a:t>
          </a:r>
          <a:r>
            <a:rPr lang="es-MX" sz="1200" b="1" i="0" u="none" strike="noStrike" baseline="0">
              <a:solidFill>
                <a:srgbClr val="FF0000"/>
              </a:solidFill>
              <a:latin typeface="Webdings"/>
            </a:rPr>
            <a:t>4</a:t>
          </a:r>
          <a:r>
            <a:rPr lang="es-MX" sz="1200" b="1" i="0" u="none" strike="noStrike" baseline="0">
              <a:solidFill>
                <a:srgbClr val="FFFFFF"/>
              </a:solidFill>
              <a:latin typeface="Arial"/>
              <a:cs typeface="Arial"/>
            </a:rPr>
            <a:t>Muestra automáticamente el salario mínimo según el año que se registre.</a:t>
          </a:r>
        </a:p>
        <a:p>
          <a:pPr algn="l" rtl="0">
            <a:defRPr sz="1000"/>
          </a:pPr>
          <a:r>
            <a:rPr lang="es-MX" sz="1200" b="1" i="0" u="none" strike="noStrike" baseline="0">
              <a:solidFill>
                <a:srgbClr val="FFFFFF"/>
              </a:solidFill>
              <a:latin typeface="Arial"/>
              <a:cs typeface="Arial"/>
            </a:rPr>
            <a:t>      ( Para calculos proyectados posteriores a la fecha actual el salario mínimo se estima con incrementos  del 4% anual).</a:t>
          </a:r>
        </a:p>
        <a:p>
          <a:pPr algn="l" rtl="0">
            <a:defRPr sz="1000"/>
          </a:pPr>
          <a:r>
            <a:rPr lang="es-MX" sz="1200" b="1" i="0" u="none" strike="noStrike" baseline="0">
              <a:solidFill>
                <a:srgbClr val="FFFFFF"/>
              </a:solidFill>
              <a:latin typeface="Arial"/>
              <a:cs typeface="Arial"/>
            </a:rPr>
            <a:t> </a:t>
          </a:r>
          <a:r>
            <a:rPr lang="es-MX" sz="1200" b="1" i="0" u="none" strike="noStrike" baseline="0">
              <a:solidFill>
                <a:srgbClr val="FF0000"/>
              </a:solidFill>
              <a:latin typeface="Webdings"/>
            </a:rPr>
            <a:t>4</a:t>
          </a:r>
          <a:r>
            <a:rPr lang="es-MX" sz="1200" b="1" i="0" u="none" strike="noStrike" baseline="0">
              <a:solidFill>
                <a:srgbClr val="FFFFFF"/>
              </a:solidFill>
              <a:latin typeface="Arial"/>
              <a:cs typeface="Arial"/>
            </a:rPr>
            <a:t>Se tiene la capacidad de poder actualizar manualmente los  incrementos futuros a los salarios minimos y/o la               </a:t>
          </a:r>
        </a:p>
        <a:p>
          <a:pPr algn="l" rtl="0">
            <a:defRPr sz="1000"/>
          </a:pPr>
          <a:r>
            <a:rPr lang="es-MX" sz="1200" b="1" i="0" u="none" strike="noStrike" baseline="0">
              <a:solidFill>
                <a:srgbClr val="FFFFFF"/>
              </a:solidFill>
              <a:latin typeface="Arial"/>
              <a:cs typeface="Arial"/>
            </a:rPr>
            <a:t>      cantidad tope de referencia conforme  se vayan emitiendo.</a:t>
          </a:r>
        </a:p>
        <a:p>
          <a:pPr algn="l" rtl="0">
            <a:defRPr sz="1000"/>
          </a:pPr>
          <a:r>
            <a:rPr lang="es-MX" sz="1200" b="1" i="0" u="none" strike="noStrike" baseline="0">
              <a:solidFill>
                <a:srgbClr val="FFFFFF"/>
              </a:solidFill>
              <a:latin typeface="Arial"/>
              <a:cs typeface="Arial"/>
            </a:rPr>
            <a:t> </a:t>
          </a:r>
          <a:r>
            <a:rPr lang="es-MX" sz="1200" b="1" i="0" u="none" strike="noStrike" baseline="0">
              <a:solidFill>
                <a:srgbClr val="FF0000"/>
              </a:solidFill>
              <a:latin typeface="Webdings"/>
            </a:rPr>
            <a:t>4</a:t>
          </a:r>
          <a:r>
            <a:rPr lang="es-MX" sz="1200" b="1" i="0" u="none" strike="noStrike" baseline="0">
              <a:solidFill>
                <a:srgbClr val="FFFFFF"/>
              </a:solidFill>
              <a:latin typeface="Arial"/>
              <a:cs typeface="Arial"/>
            </a:rPr>
            <a:t> Considera las fechas de aplicacion de las reformas o decretos  a las leyes para obtener montos de pensiones  </a:t>
          </a:r>
        </a:p>
        <a:p>
          <a:pPr algn="l" rtl="0">
            <a:defRPr sz="1000"/>
          </a:pPr>
          <a:r>
            <a:rPr lang="es-MX" sz="1200" b="1" i="0" u="none" strike="noStrike" baseline="0">
              <a:solidFill>
                <a:srgbClr val="FFFFFF"/>
              </a:solidFill>
              <a:latin typeface="Arial"/>
              <a:cs typeface="Arial"/>
            </a:rPr>
            <a:t>       alcanzadas en su momento,de igual forma calcula montos para pensiones actuales y/o proyectadas</a:t>
          </a:r>
        </a:p>
        <a:p>
          <a:pPr algn="l" rtl="0">
            <a:defRPr sz="1000"/>
          </a:pPr>
          <a:r>
            <a:rPr lang="es-MX" sz="1200" b="1" i="0" u="none" strike="noStrike" baseline="0">
              <a:solidFill>
                <a:srgbClr val="FFFFFF"/>
              </a:solidFill>
              <a:latin typeface="Arial"/>
              <a:cs typeface="Arial"/>
            </a:rPr>
            <a:t> </a:t>
          </a:r>
          <a:r>
            <a:rPr lang="es-MX" sz="1200" b="1" i="0" u="none" strike="noStrike" baseline="0">
              <a:solidFill>
                <a:srgbClr val="FF0000"/>
              </a:solidFill>
              <a:latin typeface="Webdings"/>
            </a:rPr>
            <a:t>4</a:t>
          </a:r>
          <a:r>
            <a:rPr lang="es-MX" sz="1200" b="1" i="0" u="none" strike="noStrike" baseline="0">
              <a:solidFill>
                <a:srgbClr val="FFFFFF"/>
              </a:solidFill>
              <a:latin typeface="Arial"/>
              <a:cs typeface="Arial"/>
            </a:rPr>
            <a:t>Se muestran instrucciones especificas al posicionar el cursor sobre las celdas de captura.</a:t>
          </a:r>
        </a:p>
        <a:p>
          <a:pPr algn="l" rtl="0">
            <a:defRPr sz="1000"/>
          </a:pPr>
          <a:r>
            <a:rPr lang="es-MX" sz="1200" b="1" i="0" u="none" strike="noStrike" baseline="0">
              <a:solidFill>
                <a:srgbClr val="FFFFFF"/>
              </a:solidFill>
              <a:latin typeface="Arial"/>
              <a:cs typeface="Arial"/>
            </a:rPr>
            <a:t> </a:t>
          </a:r>
          <a:r>
            <a:rPr lang="es-MX" sz="1200" b="1" i="0" u="none" strike="noStrike" baseline="0">
              <a:solidFill>
                <a:srgbClr val="FF0000"/>
              </a:solidFill>
              <a:latin typeface="Webdings"/>
            </a:rPr>
            <a:t>4</a:t>
          </a:r>
          <a:r>
            <a:rPr lang="es-MX" sz="1200" b="1" i="0" u="none" strike="noStrike" baseline="0">
              <a:solidFill>
                <a:srgbClr val="FFFFFF"/>
              </a:solidFill>
              <a:latin typeface="Arial"/>
              <a:cs typeface="Arial"/>
            </a:rPr>
            <a:t>Se muestran mensajes de error  en las celdas de captura en caso de rebasar las especificaciones.</a:t>
          </a:r>
        </a:p>
        <a:p>
          <a:pPr algn="l" rtl="0">
            <a:defRPr sz="1000"/>
          </a:pPr>
          <a:r>
            <a:rPr lang="es-MX" sz="1200" b="1" i="0" u="none" strike="noStrike" baseline="0">
              <a:solidFill>
                <a:srgbClr val="FFFFFF"/>
              </a:solidFill>
              <a:latin typeface="Arial"/>
              <a:cs typeface="Arial"/>
            </a:rPr>
            <a:t> </a:t>
          </a:r>
          <a:r>
            <a:rPr lang="es-MX" sz="1200" b="1" i="0" u="none" strike="noStrike" baseline="0">
              <a:solidFill>
                <a:srgbClr val="FF0000"/>
              </a:solidFill>
              <a:latin typeface="Webdings"/>
            </a:rPr>
            <a:t>4</a:t>
          </a:r>
          <a:r>
            <a:rPr lang="es-MX" sz="1200" b="1" i="0" u="none" strike="noStrike" baseline="0">
              <a:solidFill>
                <a:srgbClr val="FFFFFF"/>
              </a:solidFill>
              <a:latin typeface="Arial"/>
              <a:cs typeface="Arial"/>
            </a:rPr>
            <a:t> El incremento del 11%  a la pensión se da automáticamente si se registran fechas posteriores o iguales  </a:t>
          </a:r>
        </a:p>
        <a:p>
          <a:pPr algn="l" rtl="0">
            <a:defRPr sz="1000"/>
          </a:pPr>
          <a:r>
            <a:rPr lang="es-MX" sz="1200" b="1" i="0" u="none" strike="noStrike" baseline="0">
              <a:solidFill>
                <a:srgbClr val="FFFFFF"/>
              </a:solidFill>
              <a:latin typeface="Arial"/>
              <a:cs typeface="Arial"/>
            </a:rPr>
            <a:t>       al 5 de Ene del  2004.      </a:t>
          </a:r>
        </a:p>
        <a:p>
          <a:pPr algn="l" rtl="0">
            <a:defRPr sz="1000"/>
          </a:pPr>
          <a:r>
            <a:rPr lang="es-MX" sz="1200" b="1" i="0" u="none" strike="noStrike" baseline="0">
              <a:solidFill>
                <a:srgbClr val="FFFFFF"/>
              </a:solidFill>
              <a:latin typeface="Arial"/>
              <a:cs typeface="Arial"/>
            </a:rPr>
            <a:t> </a:t>
          </a:r>
          <a:r>
            <a:rPr lang="es-MX" sz="1200" b="1" i="0" u="none" strike="noStrike" baseline="0">
              <a:solidFill>
                <a:srgbClr val="FF0000"/>
              </a:solidFill>
              <a:latin typeface="Webdings"/>
            </a:rPr>
            <a:t>4</a:t>
          </a:r>
          <a:r>
            <a:rPr lang="es-MX" sz="1200" b="1" i="0" u="none" strike="noStrike" baseline="0">
              <a:solidFill>
                <a:srgbClr val="FFFFFF"/>
              </a:solidFill>
              <a:latin typeface="Arial"/>
              <a:cs typeface="Arial"/>
            </a:rPr>
            <a:t> El incremento de Ayuda Asistencial / (Soledad) se da automáticamente en base a los registros realizados en los      </a:t>
          </a:r>
        </a:p>
        <a:p>
          <a:pPr algn="l" rtl="0">
            <a:defRPr sz="1000"/>
          </a:pPr>
          <a:r>
            <a:rPr lang="es-MX" sz="1200" b="1" i="0" u="none" strike="noStrike" baseline="0">
              <a:solidFill>
                <a:srgbClr val="FFFFFF"/>
              </a:solidFill>
              <a:latin typeface="Arial"/>
              <a:cs typeface="Arial"/>
            </a:rPr>
            <a:t>       rubros de la Asignación Familiar.  </a:t>
          </a:r>
        </a:p>
        <a:p>
          <a:pPr algn="l" rtl="0">
            <a:defRPr sz="1000"/>
          </a:pPr>
          <a:r>
            <a:rPr lang="es-MX" sz="1200" b="1" i="0" u="none" strike="noStrike" baseline="0">
              <a:solidFill>
                <a:srgbClr val="FFFFFF"/>
              </a:solidFill>
              <a:latin typeface="Arial"/>
              <a:cs typeface="Arial"/>
            </a:rPr>
            <a:t> </a:t>
          </a:r>
          <a:r>
            <a:rPr lang="es-MX" sz="1200" b="1" i="0" u="none" strike="noStrike" baseline="0">
              <a:solidFill>
                <a:srgbClr val="FF0000"/>
              </a:solidFill>
              <a:latin typeface="Webdings"/>
            </a:rPr>
            <a:t>4</a:t>
          </a:r>
          <a:r>
            <a:rPr lang="es-MX" sz="1200" b="1" i="0" u="none" strike="noStrike" baseline="0">
              <a:solidFill>
                <a:srgbClr val="FFFFFF"/>
              </a:solidFill>
              <a:latin typeface="Arial"/>
              <a:cs typeface="Arial"/>
            </a:rPr>
            <a:t>Muestra el calculo y el rango de fechas del salario diario promedio de las  250 semanas anteriores a la fecha de captura.</a:t>
          </a:r>
        </a:p>
        <a:p>
          <a:pPr algn="l" rtl="0">
            <a:defRPr sz="1000"/>
          </a:pPr>
          <a:r>
            <a:rPr lang="es-MX" sz="1200" b="1" i="0" u="none" strike="noStrike" baseline="0">
              <a:solidFill>
                <a:srgbClr val="FFFFFF"/>
              </a:solidFill>
              <a:latin typeface="Arial"/>
              <a:cs typeface="Arial"/>
            </a:rPr>
            <a:t> </a:t>
          </a:r>
          <a:r>
            <a:rPr lang="es-MX" sz="1200" b="1" i="0" u="none" strike="noStrike" baseline="0">
              <a:solidFill>
                <a:srgbClr val="FF0000"/>
              </a:solidFill>
              <a:latin typeface="Webdings"/>
            </a:rPr>
            <a:t>4</a:t>
          </a:r>
          <a:r>
            <a:rPr lang="es-MX" sz="1200" b="1" i="0" u="none" strike="noStrike" baseline="0">
              <a:solidFill>
                <a:srgbClr val="FFFFFF"/>
              </a:solidFill>
              <a:latin typeface="Arial"/>
              <a:cs typeface="Arial"/>
            </a:rPr>
            <a:t>Muestra en la sección de avisos de captura la cantidad de la pensión que esta exenta de impuesto en caso   </a:t>
          </a:r>
        </a:p>
        <a:p>
          <a:pPr algn="l" rtl="0">
            <a:defRPr sz="1000"/>
          </a:pPr>
          <a:r>
            <a:rPr lang="es-MX" sz="1200" b="1" i="0" u="none" strike="noStrike" baseline="0">
              <a:solidFill>
                <a:srgbClr val="FFFFFF"/>
              </a:solidFill>
              <a:latin typeface="Arial"/>
              <a:cs typeface="Arial"/>
            </a:rPr>
            <a:t>       de rebasarse  9 veces el salario mínimo.</a:t>
          </a:r>
        </a:p>
        <a:p>
          <a:pPr algn="l" rtl="0">
            <a:defRPr sz="1000"/>
          </a:pPr>
          <a:r>
            <a:rPr lang="es-MX" sz="1200" b="1" i="0" u="none" strike="noStrike" baseline="0">
              <a:solidFill>
                <a:srgbClr val="FFFFFF"/>
              </a:solidFill>
              <a:latin typeface="Arial"/>
              <a:cs typeface="Arial"/>
            </a:rPr>
            <a:t> </a:t>
          </a:r>
          <a:r>
            <a:rPr lang="es-MX" sz="1200" b="1" i="0" u="none" strike="noStrike" baseline="0">
              <a:solidFill>
                <a:srgbClr val="FF0000"/>
              </a:solidFill>
              <a:latin typeface="Webdings"/>
            </a:rPr>
            <a:t>4</a:t>
          </a:r>
          <a:r>
            <a:rPr lang="es-MX" sz="1200" b="1" i="0" u="none" strike="noStrike" baseline="0">
              <a:solidFill>
                <a:srgbClr val="FFFFFF"/>
              </a:solidFill>
              <a:latin typeface="Arial"/>
              <a:cs typeface="Arial"/>
            </a:rPr>
            <a:t> Muestra en la sección de avisos de captura la cantidad de la pensión que debe ser en caso de no lograr el monto  </a:t>
          </a:r>
        </a:p>
        <a:p>
          <a:pPr algn="l" rtl="0">
            <a:defRPr sz="1000"/>
          </a:pPr>
          <a:r>
            <a:rPr lang="es-MX" sz="1200" b="1" i="0" u="none" strike="noStrike" baseline="0">
              <a:solidFill>
                <a:srgbClr val="FFFFFF"/>
              </a:solidFill>
              <a:latin typeface="Arial"/>
              <a:cs typeface="Arial"/>
            </a:rPr>
            <a:t>       mínimo de pension garantizable.(Un salarìo mìnimo mensual). </a:t>
          </a:r>
        </a:p>
        <a:p>
          <a:pPr algn="l" rtl="0">
            <a:defRPr sz="1000"/>
          </a:pPr>
          <a:r>
            <a:rPr lang="es-MX" sz="1200" b="1" i="0" u="none" strike="noStrike" baseline="0">
              <a:solidFill>
                <a:srgbClr val="FF0000"/>
              </a:solidFill>
              <a:latin typeface="Webdings"/>
            </a:rPr>
            <a:t>4 </a:t>
          </a:r>
          <a:r>
            <a:rPr lang="es-MX" sz="1200" b="1" i="0" u="none" strike="noStrike" baseline="0">
              <a:solidFill>
                <a:srgbClr val="FFFFFF"/>
              </a:solidFill>
              <a:latin typeface="Arial"/>
              <a:cs typeface="Arial"/>
            </a:rPr>
            <a:t>Para fechas anteriores al 27 Nov 1990 muestra en la sección de avisos de captura la cantidad tope de la pensión en   </a:t>
          </a:r>
        </a:p>
        <a:p>
          <a:pPr algn="l" rtl="0">
            <a:defRPr sz="1000"/>
          </a:pPr>
          <a:r>
            <a:rPr lang="es-MX" sz="1200" b="1" i="0" u="none" strike="noStrike" baseline="0">
              <a:solidFill>
                <a:srgbClr val="FFFFFF"/>
              </a:solidFill>
              <a:latin typeface="Arial"/>
              <a:cs typeface="Arial"/>
            </a:rPr>
            <a:t>       caso de haber rebasado el salario mensual con el cual se calculo la pensión en cualquier de las siguientes   </a:t>
          </a:r>
        </a:p>
        <a:p>
          <a:pPr algn="l" rtl="0">
            <a:defRPr sz="1000"/>
          </a:pPr>
          <a:r>
            <a:rPr lang="es-MX" sz="1200" b="1" i="0" u="none" strike="noStrike" baseline="0">
              <a:solidFill>
                <a:srgbClr val="FFFFFF"/>
              </a:solidFill>
              <a:latin typeface="Arial"/>
              <a:cs typeface="Arial"/>
            </a:rPr>
            <a:t>       condiciones:</a:t>
          </a:r>
        </a:p>
        <a:p>
          <a:pPr algn="l" rtl="0">
            <a:defRPr sz="1000"/>
          </a:pPr>
          <a:r>
            <a:rPr lang="es-MX" sz="1200" b="1" i="0" u="none" strike="noStrike" baseline="0">
              <a:solidFill>
                <a:srgbClr val="FF0000"/>
              </a:solidFill>
              <a:latin typeface="Arial"/>
              <a:cs typeface="Arial"/>
            </a:rPr>
            <a:t>    -</a:t>
          </a:r>
          <a:r>
            <a:rPr lang="es-MX" sz="1200" b="1" i="0" u="none" strike="noStrike" baseline="0">
              <a:solidFill>
                <a:srgbClr val="FFFFFF"/>
              </a:solidFill>
              <a:latin typeface="Arial"/>
              <a:cs typeface="Arial"/>
            </a:rPr>
            <a:t> El monto de la pensión &gt; Salario Mensual y las semanas cotizadas &lt; 1500 ; el monto de la pensión se reduce al 80%</a:t>
          </a:r>
        </a:p>
        <a:p>
          <a:pPr algn="l" rtl="0">
            <a:defRPr sz="1000"/>
          </a:pPr>
          <a:r>
            <a:rPr lang="es-MX" sz="1200" b="1" i="0" u="none" strike="noStrike" baseline="0">
              <a:solidFill>
                <a:srgbClr val="FFFFFF"/>
              </a:solidFill>
              <a:latin typeface="Arial"/>
              <a:cs typeface="Arial"/>
            </a:rPr>
            <a:t>    </a:t>
          </a:r>
          <a:r>
            <a:rPr lang="es-MX" sz="1200" b="1" i="0" u="none" strike="noStrike" baseline="0">
              <a:solidFill>
                <a:srgbClr val="FF0000"/>
              </a:solidFill>
              <a:latin typeface="Arial"/>
              <a:cs typeface="Arial"/>
            </a:rPr>
            <a:t>- </a:t>
          </a:r>
          <a:r>
            <a:rPr lang="es-MX" sz="1200" b="1" i="0" u="none" strike="noStrike" baseline="0">
              <a:solidFill>
                <a:srgbClr val="FFFFFF"/>
              </a:solidFill>
              <a:latin typeface="Arial"/>
              <a:cs typeface="Arial"/>
            </a:rPr>
            <a:t>El monto de la pensión &gt; Salario Mensual y las semanas cotizadas &lt; 2000 ; el monto de la pensión se reduce al 90%</a:t>
          </a:r>
        </a:p>
        <a:p>
          <a:pPr algn="l" rtl="0">
            <a:defRPr sz="1000"/>
          </a:pPr>
          <a:r>
            <a:rPr lang="es-MX" sz="1200" b="1" i="0" u="none" strike="noStrike" baseline="0">
              <a:solidFill>
                <a:srgbClr val="FFFFFF"/>
              </a:solidFill>
              <a:latin typeface="Arial"/>
              <a:cs typeface="Arial"/>
            </a:rPr>
            <a:t>    </a:t>
          </a:r>
          <a:r>
            <a:rPr lang="es-MX" sz="1200" b="1" i="0" u="none" strike="noStrike" baseline="0">
              <a:solidFill>
                <a:srgbClr val="FF0000"/>
              </a:solidFill>
              <a:latin typeface="Arial"/>
              <a:cs typeface="Arial"/>
            </a:rPr>
            <a:t>-</a:t>
          </a:r>
          <a:r>
            <a:rPr lang="es-MX" sz="1200" b="1" i="0" u="none" strike="noStrike" baseline="0">
              <a:solidFill>
                <a:srgbClr val="FFFFFF"/>
              </a:solidFill>
              <a:latin typeface="Arial"/>
              <a:cs typeface="Arial"/>
            </a:rPr>
            <a:t> El monto de la pensión &gt; Salario Mensual y las semanas cotizadas &gt; 2000 ; el monto de la pensión   no se afecta</a:t>
          </a:r>
        </a:p>
        <a:p>
          <a:pPr algn="l" rtl="0">
            <a:defRPr sz="1000"/>
          </a:pPr>
          <a:endParaRPr lang="es-MX" sz="1000" b="1" i="0" u="none" strike="noStrike" baseline="0">
            <a:solidFill>
              <a:srgbClr val="FFFFFF"/>
            </a:solidFill>
            <a:latin typeface="Arial"/>
            <a:cs typeface="Arial"/>
          </a:endParaRPr>
        </a:p>
        <a:p>
          <a:pPr algn="l" rtl="0">
            <a:defRPr sz="1000"/>
          </a:pPr>
          <a:endParaRPr lang="es-MX" sz="1200" b="1" i="0" u="none" strike="noStrike" baseline="0">
            <a:solidFill>
              <a:srgbClr val="FFFFFF"/>
            </a:solidFill>
            <a:latin typeface="Arial"/>
            <a:cs typeface="Arial"/>
          </a:endParaRPr>
        </a:p>
        <a:p>
          <a:pPr algn="l" rtl="0">
            <a:defRPr sz="1000"/>
          </a:pPr>
          <a:endParaRPr lang="es-MX" sz="1200" b="1" i="0" u="none" strike="noStrike" baseline="0">
            <a:solidFill>
              <a:srgbClr val="FFFFFF"/>
            </a:solidFill>
            <a:latin typeface="Arial"/>
            <a:cs typeface="Arial"/>
          </a:endParaRPr>
        </a:p>
        <a:p>
          <a:pPr algn="l" rtl="0">
            <a:defRPr sz="1000"/>
          </a:pPr>
          <a:endParaRPr lang="es-MX" sz="1200" b="1" i="0" u="none" strike="noStrike" baseline="0">
            <a:solidFill>
              <a:srgbClr val="FFFFFF"/>
            </a:solidFill>
            <a:latin typeface="Arial"/>
            <a:cs typeface="Arial"/>
          </a:endParaRPr>
        </a:p>
        <a:p>
          <a:pPr algn="l" rtl="0">
            <a:defRPr sz="1000"/>
          </a:pPr>
          <a:endParaRPr lang="es-MX" sz="1200" b="1" i="0" u="none" strike="noStrike" baseline="0">
            <a:solidFill>
              <a:srgbClr val="FFFFFF"/>
            </a:solidFill>
            <a:latin typeface="Arial"/>
            <a:cs typeface="Arial"/>
          </a:endParaRPr>
        </a:p>
        <a:p>
          <a:pPr algn="l" rtl="0">
            <a:defRPr sz="1000"/>
          </a:pPr>
          <a:endParaRPr lang="es-MX" sz="1200" b="1" i="0" u="none" strike="noStrike" baseline="0">
            <a:solidFill>
              <a:srgbClr val="FFFFFF"/>
            </a:solidFill>
            <a:latin typeface="Arial"/>
            <a:cs typeface="Arial"/>
          </a:endParaRPr>
        </a:p>
        <a:p>
          <a:pPr algn="l" rtl="0">
            <a:defRPr sz="1000"/>
          </a:pPr>
          <a:endParaRPr lang="es-MX" sz="1200" b="1" i="0" u="none" strike="noStrike" baseline="0">
            <a:solidFill>
              <a:srgbClr val="FFFFFF"/>
            </a:solidFill>
            <a:latin typeface="Arial"/>
            <a:cs typeface="Arial"/>
          </a:endParaRPr>
        </a:p>
        <a:p>
          <a:pPr algn="l" rtl="0">
            <a:defRPr sz="1000"/>
          </a:pPr>
          <a:endParaRPr lang="es-MX" sz="1200" b="1" i="0" u="none" strike="noStrike" baseline="0">
            <a:solidFill>
              <a:srgbClr val="FFFFFF"/>
            </a:solidFill>
            <a:latin typeface="Arial"/>
            <a:cs typeface="Arial"/>
          </a:endParaRPr>
        </a:p>
        <a:p>
          <a:pPr algn="l" rtl="0">
            <a:defRPr sz="1000"/>
          </a:pPr>
          <a:endParaRPr lang="es-MX" sz="1200" b="1" i="0" u="none" strike="noStrike" baseline="0">
            <a:solidFill>
              <a:srgbClr val="FFFFFF"/>
            </a:solidFill>
            <a:latin typeface="Arial"/>
            <a:cs typeface="Arial"/>
          </a:endParaRPr>
        </a:p>
        <a:p>
          <a:pPr algn="l" rtl="0">
            <a:defRPr sz="1000"/>
          </a:pPr>
          <a:r>
            <a:rPr lang="es-MX" sz="1200" b="1" i="0" u="none" strike="noStrike" baseline="0">
              <a:solidFill>
                <a:srgbClr val="FFFFFF"/>
              </a:solidFill>
              <a:latin typeface="Arial"/>
              <a:cs typeface="Arial"/>
            </a:rPr>
            <a:t> </a:t>
          </a:r>
        </a:p>
        <a:p>
          <a:pPr algn="l" rtl="0">
            <a:defRPr sz="1000"/>
          </a:pPr>
          <a:endParaRPr lang="es-MX" sz="1200" b="1" i="0" u="none" strike="noStrike" baseline="0">
            <a:solidFill>
              <a:srgbClr val="FFFFFF"/>
            </a:solidFill>
            <a:latin typeface="Arial"/>
            <a:cs typeface="Arial"/>
          </a:endParaRPr>
        </a:p>
        <a:p>
          <a:pPr algn="l" rtl="0">
            <a:defRPr sz="1000"/>
          </a:pPr>
          <a:endParaRPr lang="es-MX" sz="1200" b="1" i="0" u="none" strike="noStrike" baseline="0">
            <a:solidFill>
              <a:srgbClr val="FFFFFF"/>
            </a:solidFill>
            <a:latin typeface="Arial"/>
            <a:cs typeface="Arial"/>
          </a:endParaRPr>
        </a:p>
        <a:p>
          <a:pPr algn="l" rtl="0">
            <a:defRPr sz="1000"/>
          </a:pPr>
          <a:endParaRPr lang="es-MX" sz="1200" b="1" i="0" u="none" strike="noStrike" baseline="0">
            <a:solidFill>
              <a:srgbClr val="FFFFFF"/>
            </a:solidFill>
            <a:latin typeface="Arial"/>
            <a:cs typeface="Arial"/>
          </a:endParaRPr>
        </a:p>
        <a:p>
          <a:pPr algn="l" rtl="0">
            <a:defRPr sz="1000"/>
          </a:pPr>
          <a:endParaRPr lang="es-MX" sz="1200" b="1" i="0" u="none" strike="noStrike" baseline="0">
            <a:solidFill>
              <a:srgbClr val="FFFFFF"/>
            </a:solidFill>
            <a:latin typeface="Arial"/>
            <a:cs typeface="Arial"/>
          </a:endParaRPr>
        </a:p>
        <a:p>
          <a:pPr algn="l" rtl="0">
            <a:defRPr sz="1000"/>
          </a:pPr>
          <a:endParaRPr lang="es-MX" sz="1200" b="1" i="0" u="none" strike="noStrike" baseline="0">
            <a:solidFill>
              <a:srgbClr val="FFFFFF"/>
            </a:solidFill>
            <a:latin typeface="Arial"/>
            <a:cs typeface="Arial"/>
          </a:endParaRPr>
        </a:p>
        <a:p>
          <a:pPr algn="l" rtl="0">
            <a:defRPr sz="1000"/>
          </a:pPr>
          <a:endParaRPr lang="es-MX" sz="1200" b="1" i="0" u="none" strike="noStrike" baseline="0">
            <a:solidFill>
              <a:srgbClr val="FFFFFF"/>
            </a:solidFill>
            <a:latin typeface="Arial"/>
            <a:cs typeface="Arial"/>
          </a:endParaRPr>
        </a:p>
        <a:p>
          <a:pPr algn="l" rtl="0">
            <a:defRPr sz="1000"/>
          </a:pPr>
          <a:endParaRPr lang="es-MX" sz="1200" b="1" i="0" u="none" strike="noStrike" baseline="0">
            <a:solidFill>
              <a:srgbClr val="FFFFFF"/>
            </a:solidFill>
            <a:latin typeface="Arial"/>
            <a:cs typeface="Arial"/>
          </a:endParaRPr>
        </a:p>
      </xdr:txBody>
    </xdr:sp>
    <xdr:clientData/>
  </xdr:twoCellAnchor>
  <xdr:twoCellAnchor>
    <xdr:from>
      <xdr:col>16</xdr:col>
      <xdr:colOff>800100</xdr:colOff>
      <xdr:row>1</xdr:row>
      <xdr:rowOff>161925</xdr:rowOff>
    </xdr:from>
    <xdr:to>
      <xdr:col>23</xdr:col>
      <xdr:colOff>95250</xdr:colOff>
      <xdr:row>6</xdr:row>
      <xdr:rowOff>85725</xdr:rowOff>
    </xdr:to>
    <xdr:grpSp>
      <xdr:nvGrpSpPr>
        <xdr:cNvPr id="4130" name="Group 918">
          <a:hlinkClick xmlns:r="http://schemas.openxmlformats.org/officeDocument/2006/relationships" r:id="rId5"/>
          <a:extLst>
            <a:ext uri="{FF2B5EF4-FFF2-40B4-BE49-F238E27FC236}">
              <a16:creationId xmlns:a16="http://schemas.microsoft.com/office/drawing/2014/main" id="{00000000-0008-0000-0000-000022100000}"/>
            </a:ext>
          </a:extLst>
        </xdr:cNvPr>
        <xdr:cNvGrpSpPr>
          <a:grpSpLocks/>
        </xdr:cNvGrpSpPr>
      </xdr:nvGrpSpPr>
      <xdr:grpSpPr bwMode="auto">
        <a:xfrm>
          <a:off x="8701948" y="226955"/>
          <a:ext cx="1733091" cy="620005"/>
          <a:chOff x="1028" y="81"/>
          <a:chExt cx="175" cy="65"/>
        </a:xfrm>
      </xdr:grpSpPr>
      <xdr:grpSp>
        <xdr:nvGrpSpPr>
          <xdr:cNvPr id="4192" name="Group 223">
            <a:extLst>
              <a:ext uri="{FF2B5EF4-FFF2-40B4-BE49-F238E27FC236}">
                <a16:creationId xmlns:a16="http://schemas.microsoft.com/office/drawing/2014/main" id="{00000000-0008-0000-0000-000060100000}"/>
              </a:ext>
            </a:extLst>
          </xdr:cNvPr>
          <xdr:cNvGrpSpPr>
            <a:grpSpLocks/>
          </xdr:cNvGrpSpPr>
        </xdr:nvGrpSpPr>
        <xdr:grpSpPr bwMode="auto">
          <a:xfrm>
            <a:off x="1038" y="81"/>
            <a:ext cx="155" cy="65"/>
            <a:chOff x="870" y="466"/>
            <a:chExt cx="130" cy="88"/>
          </a:xfrm>
        </xdr:grpSpPr>
        <xdr:sp macro="" textlink="">
          <xdr:nvSpPr>
            <xdr:cNvPr id="4194" name="AutoShape 214">
              <a:extLst>
                <a:ext uri="{FF2B5EF4-FFF2-40B4-BE49-F238E27FC236}">
                  <a16:creationId xmlns:a16="http://schemas.microsoft.com/office/drawing/2014/main" id="{00000000-0008-0000-0000-000062100000}"/>
                </a:ext>
              </a:extLst>
            </xdr:cNvPr>
            <xdr:cNvSpPr>
              <a:spLocks noChangeArrowheads="1"/>
            </xdr:cNvSpPr>
          </xdr:nvSpPr>
          <xdr:spPr bwMode="auto">
            <a:xfrm>
              <a:off x="870" y="466"/>
              <a:ext cx="130" cy="88"/>
            </a:xfrm>
            <a:prstGeom prst="roundRect">
              <a:avLst>
                <a:gd name="adj" fmla="val 14773"/>
              </a:avLst>
            </a:prstGeom>
            <a:gradFill rotWithShape="0">
              <a:gsLst>
                <a:gs pos="0">
                  <a:srgbClr val="FFCC00"/>
                </a:gs>
                <a:gs pos="100000">
                  <a:srgbClr val="8C7000"/>
                </a:gs>
              </a:gsLst>
              <a:path path="rect">
                <a:fillToRect r="100000" b="100000"/>
              </a:path>
            </a:gradFill>
            <a:ln w="9525">
              <a:round/>
              <a:headEnd/>
              <a:tailEnd/>
            </a:ln>
            <a:effectLst/>
            <a:scene3d>
              <a:camera prst="legacyPerspectiveTop">
                <a:rot lat="0" lon="20999997" rev="0"/>
              </a:camera>
              <a:lightRig rig="legacyFlat3" dir="r"/>
            </a:scene3d>
            <a:sp3d extrusionH="430200" prstMaterial="legacyMatte">
              <a:bevelT w="13500" h="13500" prst="angle"/>
              <a:bevelB w="13500" h="13500" prst="angle"/>
              <a:extrusionClr>
                <a:srgbClr val="FFCC00"/>
              </a:extrusionClr>
            </a:sp3d>
            <a:extLs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4195" name="AutoShape 216">
              <a:extLst>
                <a:ext uri="{FF2B5EF4-FFF2-40B4-BE49-F238E27FC236}">
                  <a16:creationId xmlns:a16="http://schemas.microsoft.com/office/drawing/2014/main" id="{00000000-0008-0000-0000-000063100000}"/>
                </a:ext>
              </a:extLst>
            </xdr:cNvPr>
            <xdr:cNvSpPr>
              <a:spLocks noChangeArrowheads="1"/>
            </xdr:cNvSpPr>
          </xdr:nvSpPr>
          <xdr:spPr bwMode="auto">
            <a:xfrm>
              <a:off x="909" y="524"/>
              <a:ext cx="52" cy="28"/>
            </a:xfrm>
            <a:prstGeom prst="rightArrow">
              <a:avLst>
                <a:gd name="adj1" fmla="val 50000"/>
                <a:gd name="adj2" fmla="val 46429"/>
              </a:avLst>
            </a:prstGeom>
            <a:solidFill>
              <a:srgbClr val="FFFF00"/>
            </a:solidFill>
            <a:ln w="9525">
              <a:solidFill>
                <a:srgbClr val="FF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grpSp>
      <xdr:sp macro="" textlink="">
        <xdr:nvSpPr>
          <xdr:cNvPr id="1234" name="Text Box 210">
            <a:extLst>
              <a:ext uri="{FF2B5EF4-FFF2-40B4-BE49-F238E27FC236}">
                <a16:creationId xmlns:a16="http://schemas.microsoft.com/office/drawing/2014/main" id="{00000000-0008-0000-0000-0000D2040000}"/>
              </a:ext>
            </a:extLst>
          </xdr:cNvPr>
          <xdr:cNvSpPr txBox="1">
            <a:spLocks noChangeArrowheads="1"/>
          </xdr:cNvSpPr>
        </xdr:nvSpPr>
        <xdr:spPr bwMode="auto">
          <a:xfrm>
            <a:off x="1028" y="83"/>
            <a:ext cx="175" cy="44"/>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22860" rIns="36576" bIns="0" anchor="t" upright="1"/>
          <a:lstStyle/>
          <a:p>
            <a:pPr algn="ctr" rtl="0">
              <a:defRPr sz="1000"/>
            </a:pPr>
            <a:r>
              <a:rPr lang="es-MX" sz="1200" b="1" i="1" u="none" strike="noStrike" baseline="0">
                <a:solidFill>
                  <a:srgbClr val="0000FF"/>
                </a:solidFill>
                <a:latin typeface="Arial"/>
                <a:cs typeface="Arial"/>
              </a:rPr>
              <a:t>Ir a  Características </a:t>
            </a:r>
          </a:p>
          <a:p>
            <a:pPr algn="ctr" rtl="0">
              <a:defRPr sz="1000"/>
            </a:pPr>
            <a:r>
              <a:rPr lang="es-MX" sz="1200" b="1" i="1" u="none" strike="noStrike" baseline="0">
                <a:solidFill>
                  <a:srgbClr val="0000FF"/>
                </a:solidFill>
                <a:latin typeface="Arial"/>
                <a:cs typeface="Arial"/>
              </a:rPr>
              <a:t>del simulador</a:t>
            </a:r>
          </a:p>
        </xdr:txBody>
      </xdr:sp>
    </xdr:grpSp>
    <xdr:clientData/>
  </xdr:twoCellAnchor>
  <xdr:twoCellAnchor>
    <xdr:from>
      <xdr:col>8</xdr:col>
      <xdr:colOff>571500</xdr:colOff>
      <xdr:row>89</xdr:row>
      <xdr:rowOff>76200</xdr:rowOff>
    </xdr:from>
    <xdr:to>
      <xdr:col>16</xdr:col>
      <xdr:colOff>390525</xdr:colOff>
      <xdr:row>93</xdr:row>
      <xdr:rowOff>104775</xdr:rowOff>
    </xdr:to>
    <xdr:grpSp>
      <xdr:nvGrpSpPr>
        <xdr:cNvPr id="4131" name="Group 225">
          <a:hlinkClick xmlns:r="http://schemas.openxmlformats.org/officeDocument/2006/relationships" r:id="rId2"/>
          <a:extLst>
            <a:ext uri="{FF2B5EF4-FFF2-40B4-BE49-F238E27FC236}">
              <a16:creationId xmlns:a16="http://schemas.microsoft.com/office/drawing/2014/main" id="{00000000-0008-0000-0000-000023100000}"/>
            </a:ext>
          </a:extLst>
        </xdr:cNvPr>
        <xdr:cNvGrpSpPr>
          <a:grpSpLocks/>
        </xdr:cNvGrpSpPr>
      </xdr:nvGrpSpPr>
      <xdr:grpSpPr bwMode="auto">
        <a:xfrm>
          <a:off x="3800054" y="17228851"/>
          <a:ext cx="4505019" cy="747731"/>
          <a:chOff x="1776" y="146"/>
          <a:chExt cx="460" cy="98"/>
        </a:xfrm>
      </xdr:grpSpPr>
      <xdr:sp macro="" textlink="">
        <xdr:nvSpPr>
          <xdr:cNvPr id="4190" name="AutoShape 226">
            <a:extLst>
              <a:ext uri="{FF2B5EF4-FFF2-40B4-BE49-F238E27FC236}">
                <a16:creationId xmlns:a16="http://schemas.microsoft.com/office/drawing/2014/main" id="{00000000-0008-0000-0000-00005E100000}"/>
              </a:ext>
            </a:extLst>
          </xdr:cNvPr>
          <xdr:cNvSpPr>
            <a:spLocks noChangeArrowheads="1"/>
          </xdr:cNvSpPr>
        </xdr:nvSpPr>
        <xdr:spPr bwMode="auto">
          <a:xfrm>
            <a:off x="1776" y="146"/>
            <a:ext cx="460" cy="98"/>
          </a:xfrm>
          <a:prstGeom prst="leftArrow">
            <a:avLst>
              <a:gd name="adj1" fmla="val 50000"/>
              <a:gd name="adj2" fmla="val 117347"/>
            </a:avLst>
          </a:prstGeom>
          <a:solidFill>
            <a:srgbClr val="FFFF99"/>
          </a:solidFill>
          <a:ln w="38100">
            <a:solidFill>
              <a:srgbClr val="00CCFF"/>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251" name="Text Box 227">
            <a:extLst>
              <a:ext uri="{FF2B5EF4-FFF2-40B4-BE49-F238E27FC236}">
                <a16:creationId xmlns:a16="http://schemas.microsoft.com/office/drawing/2014/main" id="{00000000-0008-0000-0000-0000E3040000}"/>
              </a:ext>
            </a:extLst>
          </xdr:cNvPr>
          <xdr:cNvSpPr txBox="1">
            <a:spLocks noChangeArrowheads="1"/>
          </xdr:cNvSpPr>
        </xdr:nvSpPr>
        <xdr:spPr bwMode="auto">
          <a:xfrm>
            <a:off x="1852" y="187"/>
            <a:ext cx="269" cy="27"/>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wrap="none" lIns="27432" tIns="27432" rIns="0" bIns="0" anchor="t" upright="1">
            <a:spAutoFit/>
          </a:bodyPr>
          <a:lstStyle/>
          <a:p>
            <a:pPr algn="l" rtl="0">
              <a:defRPr sz="1000"/>
            </a:pPr>
            <a:r>
              <a:rPr lang="es-MX" sz="1200" b="1" i="0" u="none" strike="noStrike" baseline="0">
                <a:solidFill>
                  <a:srgbClr val="FF0000"/>
                </a:solidFill>
                <a:latin typeface="Arial"/>
                <a:cs typeface="Arial"/>
              </a:rPr>
              <a:t>Clic AQUÍ para regresar al calculo</a:t>
            </a:r>
          </a:p>
        </xdr:txBody>
      </xdr:sp>
    </xdr:grpSp>
    <xdr:clientData/>
  </xdr:twoCellAnchor>
  <xdr:twoCellAnchor>
    <xdr:from>
      <xdr:col>62</xdr:col>
      <xdr:colOff>209550</xdr:colOff>
      <xdr:row>125</xdr:row>
      <xdr:rowOff>85725</xdr:rowOff>
    </xdr:from>
    <xdr:to>
      <xdr:col>62</xdr:col>
      <xdr:colOff>209550</xdr:colOff>
      <xdr:row>128</xdr:row>
      <xdr:rowOff>85725</xdr:rowOff>
    </xdr:to>
    <xdr:sp macro="" textlink="">
      <xdr:nvSpPr>
        <xdr:cNvPr id="4132" name="Line 229">
          <a:extLst>
            <a:ext uri="{FF2B5EF4-FFF2-40B4-BE49-F238E27FC236}">
              <a16:creationId xmlns:a16="http://schemas.microsoft.com/office/drawing/2014/main" id="{00000000-0008-0000-0000-000024100000}"/>
            </a:ext>
          </a:extLst>
        </xdr:cNvPr>
        <xdr:cNvSpPr>
          <a:spLocks noChangeShapeType="1"/>
        </xdr:cNvSpPr>
      </xdr:nvSpPr>
      <xdr:spPr bwMode="auto">
        <a:xfrm flipV="1">
          <a:off x="21212175" y="23726775"/>
          <a:ext cx="0" cy="542925"/>
        </a:xfrm>
        <a:prstGeom prst="line">
          <a:avLst/>
        </a:prstGeom>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62</xdr:col>
      <xdr:colOff>209550</xdr:colOff>
      <xdr:row>125</xdr:row>
      <xdr:rowOff>152400</xdr:rowOff>
    </xdr:from>
    <xdr:to>
      <xdr:col>62</xdr:col>
      <xdr:colOff>209550</xdr:colOff>
      <xdr:row>128</xdr:row>
      <xdr:rowOff>95250</xdr:rowOff>
    </xdr:to>
    <xdr:sp macro="" textlink="">
      <xdr:nvSpPr>
        <xdr:cNvPr id="4133" name="Line 230">
          <a:extLst>
            <a:ext uri="{FF2B5EF4-FFF2-40B4-BE49-F238E27FC236}">
              <a16:creationId xmlns:a16="http://schemas.microsoft.com/office/drawing/2014/main" id="{00000000-0008-0000-0000-000025100000}"/>
            </a:ext>
          </a:extLst>
        </xdr:cNvPr>
        <xdr:cNvSpPr>
          <a:spLocks noChangeShapeType="1"/>
        </xdr:cNvSpPr>
      </xdr:nvSpPr>
      <xdr:spPr bwMode="auto">
        <a:xfrm flipV="1">
          <a:off x="21212175" y="23793450"/>
          <a:ext cx="0" cy="485775"/>
        </a:xfrm>
        <a:prstGeom prst="line">
          <a:avLst/>
        </a:prstGeom>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67</xdr:col>
      <xdr:colOff>0</xdr:colOff>
      <xdr:row>140</xdr:row>
      <xdr:rowOff>133350</xdr:rowOff>
    </xdr:from>
    <xdr:to>
      <xdr:col>69</xdr:col>
      <xdr:colOff>76200</xdr:colOff>
      <xdr:row>142</xdr:row>
      <xdr:rowOff>66675</xdr:rowOff>
    </xdr:to>
    <xdr:cxnSp macro="">
      <xdr:nvCxnSpPr>
        <xdr:cNvPr id="4134" name="AutoShape 233">
          <a:extLst>
            <a:ext uri="{FF2B5EF4-FFF2-40B4-BE49-F238E27FC236}">
              <a16:creationId xmlns:a16="http://schemas.microsoft.com/office/drawing/2014/main" id="{00000000-0008-0000-0000-000026100000}"/>
            </a:ext>
          </a:extLst>
        </xdr:cNvPr>
        <xdr:cNvCxnSpPr>
          <a:cxnSpLocks noChangeShapeType="1"/>
          <a:stCxn id="1086" idx="0"/>
        </xdr:cNvCxnSpPr>
      </xdr:nvCxnSpPr>
      <xdr:spPr bwMode="auto">
        <a:xfrm rot="5400000" flipH="1">
          <a:off x="24279225" y="26374725"/>
          <a:ext cx="295275" cy="523875"/>
        </a:xfrm>
        <a:prstGeom prst="bentConnector2">
          <a:avLst/>
        </a:prstGeom>
        <a:noFill/>
        <a:ln w="9525">
          <a:solidFill>
            <a:srgbClr val="FFFFFF"/>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45</xdr:col>
      <xdr:colOff>76200</xdr:colOff>
      <xdr:row>49</xdr:row>
      <xdr:rowOff>57150</xdr:rowOff>
    </xdr:from>
    <xdr:to>
      <xdr:col>54</xdr:col>
      <xdr:colOff>771525</xdr:colOff>
      <xdr:row>53</xdr:row>
      <xdr:rowOff>76200</xdr:rowOff>
    </xdr:to>
    <xdr:grpSp>
      <xdr:nvGrpSpPr>
        <xdr:cNvPr id="4135" name="Group 568">
          <a:hlinkClick xmlns:r="http://schemas.openxmlformats.org/officeDocument/2006/relationships" r:id="rId2"/>
          <a:extLst>
            <a:ext uri="{FF2B5EF4-FFF2-40B4-BE49-F238E27FC236}">
              <a16:creationId xmlns:a16="http://schemas.microsoft.com/office/drawing/2014/main" id="{00000000-0008-0000-0000-000027100000}"/>
            </a:ext>
          </a:extLst>
        </xdr:cNvPr>
        <xdr:cNvGrpSpPr>
          <a:grpSpLocks/>
        </xdr:cNvGrpSpPr>
      </xdr:nvGrpSpPr>
      <xdr:grpSpPr bwMode="auto">
        <a:xfrm>
          <a:off x="14447857" y="10018234"/>
          <a:ext cx="3889451" cy="738207"/>
          <a:chOff x="1776" y="146"/>
          <a:chExt cx="460" cy="98"/>
        </a:xfrm>
      </xdr:grpSpPr>
      <xdr:sp macro="" textlink="">
        <xdr:nvSpPr>
          <xdr:cNvPr id="4188" name="AutoShape 569">
            <a:extLst>
              <a:ext uri="{FF2B5EF4-FFF2-40B4-BE49-F238E27FC236}">
                <a16:creationId xmlns:a16="http://schemas.microsoft.com/office/drawing/2014/main" id="{00000000-0008-0000-0000-00005C100000}"/>
              </a:ext>
            </a:extLst>
          </xdr:cNvPr>
          <xdr:cNvSpPr>
            <a:spLocks noChangeArrowheads="1"/>
          </xdr:cNvSpPr>
        </xdr:nvSpPr>
        <xdr:spPr bwMode="auto">
          <a:xfrm>
            <a:off x="1776" y="146"/>
            <a:ext cx="460" cy="98"/>
          </a:xfrm>
          <a:prstGeom prst="leftArrow">
            <a:avLst>
              <a:gd name="adj1" fmla="val 50000"/>
              <a:gd name="adj2" fmla="val 117347"/>
            </a:avLst>
          </a:prstGeom>
          <a:solidFill>
            <a:srgbClr val="3366FF"/>
          </a:solidFill>
          <a:ln w="38100">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594" name="Text Box 570">
            <a:extLst>
              <a:ext uri="{FF2B5EF4-FFF2-40B4-BE49-F238E27FC236}">
                <a16:creationId xmlns:a16="http://schemas.microsoft.com/office/drawing/2014/main" id="{00000000-0008-0000-0000-00003A060000}"/>
              </a:ext>
            </a:extLst>
          </xdr:cNvPr>
          <xdr:cNvSpPr txBox="1">
            <a:spLocks noChangeArrowheads="1"/>
          </xdr:cNvSpPr>
        </xdr:nvSpPr>
        <xdr:spPr bwMode="auto">
          <a:xfrm>
            <a:off x="1860" y="182"/>
            <a:ext cx="307" cy="27"/>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wrap="none" lIns="27432" tIns="27432" rIns="0" bIns="0" anchor="t" upright="1">
            <a:spAutoFit/>
          </a:bodyPr>
          <a:lstStyle/>
          <a:p>
            <a:pPr algn="l" rtl="0">
              <a:defRPr sz="1000"/>
            </a:pPr>
            <a:r>
              <a:rPr lang="es-MX" sz="1200" b="1" i="0" u="none" strike="noStrike" baseline="0">
                <a:solidFill>
                  <a:srgbClr val="FFFF99"/>
                </a:solidFill>
                <a:latin typeface="Arial"/>
                <a:cs typeface="Arial"/>
              </a:rPr>
              <a:t>Clic AQUÍ para regresar al calculo</a:t>
            </a:r>
          </a:p>
        </xdr:txBody>
      </xdr:sp>
    </xdr:grpSp>
    <xdr:clientData/>
  </xdr:twoCellAnchor>
  <xdr:twoCellAnchor>
    <xdr:from>
      <xdr:col>6</xdr:col>
      <xdr:colOff>304800</xdr:colOff>
      <xdr:row>135</xdr:row>
      <xdr:rowOff>171450</xdr:rowOff>
    </xdr:from>
    <xdr:to>
      <xdr:col>13</xdr:col>
      <xdr:colOff>266700</xdr:colOff>
      <xdr:row>140</xdr:row>
      <xdr:rowOff>19050</xdr:rowOff>
    </xdr:to>
    <xdr:grpSp>
      <xdr:nvGrpSpPr>
        <xdr:cNvPr id="4136" name="Group 565">
          <a:hlinkClick xmlns:r="http://schemas.openxmlformats.org/officeDocument/2006/relationships" r:id="rId2"/>
          <a:extLst>
            <a:ext uri="{FF2B5EF4-FFF2-40B4-BE49-F238E27FC236}">
              <a16:creationId xmlns:a16="http://schemas.microsoft.com/office/drawing/2014/main" id="{00000000-0008-0000-0000-000028100000}"/>
            </a:ext>
          </a:extLst>
        </xdr:cNvPr>
        <xdr:cNvGrpSpPr>
          <a:grpSpLocks/>
        </xdr:cNvGrpSpPr>
      </xdr:nvGrpSpPr>
      <xdr:grpSpPr bwMode="auto">
        <a:xfrm>
          <a:off x="2473746" y="25594402"/>
          <a:ext cx="3966990" cy="746546"/>
          <a:chOff x="1776" y="146"/>
          <a:chExt cx="460" cy="98"/>
        </a:xfrm>
      </xdr:grpSpPr>
      <xdr:sp macro="" textlink="">
        <xdr:nvSpPr>
          <xdr:cNvPr id="4186" name="AutoShape 566">
            <a:extLst>
              <a:ext uri="{FF2B5EF4-FFF2-40B4-BE49-F238E27FC236}">
                <a16:creationId xmlns:a16="http://schemas.microsoft.com/office/drawing/2014/main" id="{00000000-0008-0000-0000-00005A100000}"/>
              </a:ext>
            </a:extLst>
          </xdr:cNvPr>
          <xdr:cNvSpPr>
            <a:spLocks noChangeArrowheads="1"/>
          </xdr:cNvSpPr>
        </xdr:nvSpPr>
        <xdr:spPr bwMode="auto">
          <a:xfrm>
            <a:off x="1776" y="146"/>
            <a:ext cx="460" cy="98"/>
          </a:xfrm>
          <a:prstGeom prst="leftArrow">
            <a:avLst>
              <a:gd name="adj1" fmla="val 50000"/>
              <a:gd name="adj2" fmla="val 117347"/>
            </a:avLst>
          </a:prstGeom>
          <a:solidFill>
            <a:srgbClr val="FFFF99"/>
          </a:solidFill>
          <a:ln w="38100">
            <a:solidFill>
              <a:srgbClr val="00CCFF"/>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591" name="Text Box 567">
            <a:extLst>
              <a:ext uri="{FF2B5EF4-FFF2-40B4-BE49-F238E27FC236}">
                <a16:creationId xmlns:a16="http://schemas.microsoft.com/office/drawing/2014/main" id="{00000000-0008-0000-0000-000037060000}"/>
              </a:ext>
            </a:extLst>
          </xdr:cNvPr>
          <xdr:cNvSpPr txBox="1">
            <a:spLocks noChangeArrowheads="1"/>
          </xdr:cNvSpPr>
        </xdr:nvSpPr>
        <xdr:spPr bwMode="auto">
          <a:xfrm>
            <a:off x="1874" y="188"/>
            <a:ext cx="305" cy="27"/>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wrap="none" lIns="27432" tIns="27432" rIns="0" bIns="0" anchor="t" upright="1">
            <a:spAutoFit/>
          </a:bodyPr>
          <a:lstStyle/>
          <a:p>
            <a:pPr algn="l" rtl="0">
              <a:defRPr sz="1000"/>
            </a:pPr>
            <a:r>
              <a:rPr lang="es-MX" sz="1200" b="1" i="0" u="none" strike="noStrike" baseline="0">
                <a:solidFill>
                  <a:srgbClr val="FF0000"/>
                </a:solidFill>
                <a:latin typeface="Arial"/>
                <a:cs typeface="Arial"/>
              </a:rPr>
              <a:t>Clic AQUÍ para regresar al calculo</a:t>
            </a:r>
          </a:p>
        </xdr:txBody>
      </xdr:sp>
    </xdr:grpSp>
    <xdr:clientData/>
  </xdr:twoCellAnchor>
  <xdr:twoCellAnchor>
    <xdr:from>
      <xdr:col>66</xdr:col>
      <xdr:colOff>142875</xdr:colOff>
      <xdr:row>142</xdr:row>
      <xdr:rowOff>47625</xdr:rowOff>
    </xdr:from>
    <xdr:to>
      <xdr:col>66</xdr:col>
      <xdr:colOff>142875</xdr:colOff>
      <xdr:row>145</xdr:row>
      <xdr:rowOff>114300</xdr:rowOff>
    </xdr:to>
    <xdr:cxnSp macro="">
      <xdr:nvCxnSpPr>
        <xdr:cNvPr id="4137" name="AutoShape 670">
          <a:extLst>
            <a:ext uri="{FF2B5EF4-FFF2-40B4-BE49-F238E27FC236}">
              <a16:creationId xmlns:a16="http://schemas.microsoft.com/office/drawing/2014/main" id="{00000000-0008-0000-0000-000029100000}"/>
            </a:ext>
          </a:extLst>
        </xdr:cNvPr>
        <xdr:cNvCxnSpPr>
          <a:cxnSpLocks noChangeShapeType="1"/>
          <a:stCxn id="1036" idx="0"/>
        </xdr:cNvCxnSpPr>
      </xdr:nvCxnSpPr>
      <xdr:spPr bwMode="auto">
        <a:xfrm flipV="1">
          <a:off x="23460075" y="26765250"/>
          <a:ext cx="0" cy="609600"/>
        </a:xfrm>
        <a:prstGeom prst="straightConnector1">
          <a:avLst/>
        </a:prstGeom>
        <a:noFill/>
        <a:ln w="9525">
          <a:solidFill>
            <a:srgbClr val="FFFFFF"/>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62</xdr:col>
      <xdr:colOff>209550</xdr:colOff>
      <xdr:row>125</xdr:row>
      <xdr:rowOff>85725</xdr:rowOff>
    </xdr:from>
    <xdr:to>
      <xdr:col>62</xdr:col>
      <xdr:colOff>209550</xdr:colOff>
      <xdr:row>128</xdr:row>
      <xdr:rowOff>85725</xdr:rowOff>
    </xdr:to>
    <xdr:sp macro="" textlink="">
      <xdr:nvSpPr>
        <xdr:cNvPr id="4138" name="Line 673">
          <a:extLst>
            <a:ext uri="{FF2B5EF4-FFF2-40B4-BE49-F238E27FC236}">
              <a16:creationId xmlns:a16="http://schemas.microsoft.com/office/drawing/2014/main" id="{00000000-0008-0000-0000-00002A100000}"/>
            </a:ext>
          </a:extLst>
        </xdr:cNvPr>
        <xdr:cNvSpPr>
          <a:spLocks noChangeShapeType="1"/>
        </xdr:cNvSpPr>
      </xdr:nvSpPr>
      <xdr:spPr bwMode="auto">
        <a:xfrm flipV="1">
          <a:off x="21212175" y="23726775"/>
          <a:ext cx="0" cy="542925"/>
        </a:xfrm>
        <a:prstGeom prst="line">
          <a:avLst/>
        </a:prstGeom>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62</xdr:col>
      <xdr:colOff>209550</xdr:colOff>
      <xdr:row>125</xdr:row>
      <xdr:rowOff>152400</xdr:rowOff>
    </xdr:from>
    <xdr:to>
      <xdr:col>62</xdr:col>
      <xdr:colOff>209550</xdr:colOff>
      <xdr:row>128</xdr:row>
      <xdr:rowOff>95250</xdr:rowOff>
    </xdr:to>
    <xdr:sp macro="" textlink="">
      <xdr:nvSpPr>
        <xdr:cNvPr id="4139" name="Line 674">
          <a:extLst>
            <a:ext uri="{FF2B5EF4-FFF2-40B4-BE49-F238E27FC236}">
              <a16:creationId xmlns:a16="http://schemas.microsoft.com/office/drawing/2014/main" id="{00000000-0008-0000-0000-00002B100000}"/>
            </a:ext>
          </a:extLst>
        </xdr:cNvPr>
        <xdr:cNvSpPr>
          <a:spLocks noChangeShapeType="1"/>
        </xdr:cNvSpPr>
      </xdr:nvSpPr>
      <xdr:spPr bwMode="auto">
        <a:xfrm flipV="1">
          <a:off x="21212175" y="23793450"/>
          <a:ext cx="0" cy="485775"/>
        </a:xfrm>
        <a:prstGeom prst="line">
          <a:avLst/>
        </a:prstGeom>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62</xdr:col>
      <xdr:colOff>209550</xdr:colOff>
      <xdr:row>125</xdr:row>
      <xdr:rowOff>85725</xdr:rowOff>
    </xdr:from>
    <xdr:to>
      <xdr:col>62</xdr:col>
      <xdr:colOff>209550</xdr:colOff>
      <xdr:row>128</xdr:row>
      <xdr:rowOff>85725</xdr:rowOff>
    </xdr:to>
    <xdr:sp macro="" textlink="">
      <xdr:nvSpPr>
        <xdr:cNvPr id="4140" name="Line 675">
          <a:extLst>
            <a:ext uri="{FF2B5EF4-FFF2-40B4-BE49-F238E27FC236}">
              <a16:creationId xmlns:a16="http://schemas.microsoft.com/office/drawing/2014/main" id="{00000000-0008-0000-0000-00002C100000}"/>
            </a:ext>
          </a:extLst>
        </xdr:cNvPr>
        <xdr:cNvSpPr>
          <a:spLocks noChangeShapeType="1"/>
        </xdr:cNvSpPr>
      </xdr:nvSpPr>
      <xdr:spPr bwMode="auto">
        <a:xfrm flipV="1">
          <a:off x="21212175" y="23726775"/>
          <a:ext cx="0" cy="542925"/>
        </a:xfrm>
        <a:prstGeom prst="line">
          <a:avLst/>
        </a:prstGeom>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62</xdr:col>
      <xdr:colOff>209550</xdr:colOff>
      <xdr:row>125</xdr:row>
      <xdr:rowOff>152400</xdr:rowOff>
    </xdr:from>
    <xdr:to>
      <xdr:col>62</xdr:col>
      <xdr:colOff>209550</xdr:colOff>
      <xdr:row>128</xdr:row>
      <xdr:rowOff>95250</xdr:rowOff>
    </xdr:to>
    <xdr:sp macro="" textlink="">
      <xdr:nvSpPr>
        <xdr:cNvPr id="4141" name="Line 676">
          <a:extLst>
            <a:ext uri="{FF2B5EF4-FFF2-40B4-BE49-F238E27FC236}">
              <a16:creationId xmlns:a16="http://schemas.microsoft.com/office/drawing/2014/main" id="{00000000-0008-0000-0000-00002D100000}"/>
            </a:ext>
          </a:extLst>
        </xdr:cNvPr>
        <xdr:cNvSpPr>
          <a:spLocks noChangeShapeType="1"/>
        </xdr:cNvSpPr>
      </xdr:nvSpPr>
      <xdr:spPr bwMode="auto">
        <a:xfrm flipV="1">
          <a:off x="21212175" y="23793450"/>
          <a:ext cx="0" cy="485775"/>
        </a:xfrm>
        <a:prstGeom prst="line">
          <a:avLst/>
        </a:prstGeom>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49</xdr:col>
      <xdr:colOff>28575</xdr:colOff>
      <xdr:row>94</xdr:row>
      <xdr:rowOff>161925</xdr:rowOff>
    </xdr:from>
    <xdr:to>
      <xdr:col>56</xdr:col>
      <xdr:colOff>514350</xdr:colOff>
      <xdr:row>99</xdr:row>
      <xdr:rowOff>28575</xdr:rowOff>
    </xdr:to>
    <xdr:grpSp>
      <xdr:nvGrpSpPr>
        <xdr:cNvPr id="4142" name="Group 678">
          <a:hlinkClick xmlns:r="http://schemas.openxmlformats.org/officeDocument/2006/relationships" r:id="rId6"/>
          <a:extLst>
            <a:ext uri="{FF2B5EF4-FFF2-40B4-BE49-F238E27FC236}">
              <a16:creationId xmlns:a16="http://schemas.microsoft.com/office/drawing/2014/main" id="{00000000-0008-0000-0000-00002E100000}"/>
            </a:ext>
          </a:extLst>
        </xdr:cNvPr>
        <xdr:cNvGrpSpPr>
          <a:grpSpLocks/>
        </xdr:cNvGrpSpPr>
      </xdr:nvGrpSpPr>
      <xdr:grpSpPr bwMode="auto">
        <a:xfrm>
          <a:off x="15211195" y="18213521"/>
          <a:ext cx="3924721" cy="765596"/>
          <a:chOff x="1776" y="146"/>
          <a:chExt cx="460" cy="98"/>
        </a:xfrm>
      </xdr:grpSpPr>
      <xdr:sp macro="" textlink="">
        <xdr:nvSpPr>
          <xdr:cNvPr id="4184" name="AutoShape 679">
            <a:extLst>
              <a:ext uri="{FF2B5EF4-FFF2-40B4-BE49-F238E27FC236}">
                <a16:creationId xmlns:a16="http://schemas.microsoft.com/office/drawing/2014/main" id="{00000000-0008-0000-0000-000058100000}"/>
              </a:ext>
            </a:extLst>
          </xdr:cNvPr>
          <xdr:cNvSpPr>
            <a:spLocks noChangeArrowheads="1"/>
          </xdr:cNvSpPr>
        </xdr:nvSpPr>
        <xdr:spPr bwMode="auto">
          <a:xfrm>
            <a:off x="1776" y="146"/>
            <a:ext cx="460" cy="98"/>
          </a:xfrm>
          <a:prstGeom prst="leftArrow">
            <a:avLst>
              <a:gd name="adj1" fmla="val 50000"/>
              <a:gd name="adj2" fmla="val 117347"/>
            </a:avLst>
          </a:prstGeom>
          <a:solidFill>
            <a:srgbClr val="3366FF"/>
          </a:solidFill>
          <a:ln w="38100">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704" name="Text Box 680">
            <a:extLst>
              <a:ext uri="{FF2B5EF4-FFF2-40B4-BE49-F238E27FC236}">
                <a16:creationId xmlns:a16="http://schemas.microsoft.com/office/drawing/2014/main" id="{00000000-0008-0000-0000-0000A8060000}"/>
              </a:ext>
            </a:extLst>
          </xdr:cNvPr>
          <xdr:cNvSpPr txBox="1">
            <a:spLocks noChangeArrowheads="1"/>
          </xdr:cNvSpPr>
        </xdr:nvSpPr>
        <xdr:spPr bwMode="auto">
          <a:xfrm>
            <a:off x="1864" y="181"/>
            <a:ext cx="305" cy="26"/>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wrap="none" lIns="27432" tIns="27432" rIns="0" bIns="0" anchor="t" upright="1">
            <a:spAutoFit/>
          </a:bodyPr>
          <a:lstStyle/>
          <a:p>
            <a:pPr algn="l" rtl="0">
              <a:defRPr sz="1000"/>
            </a:pPr>
            <a:r>
              <a:rPr lang="es-MX" sz="1200" b="1" i="0" u="none" strike="noStrike" baseline="0">
                <a:solidFill>
                  <a:srgbClr val="FFFF99"/>
                </a:solidFill>
                <a:latin typeface="Arial"/>
                <a:cs typeface="Arial"/>
              </a:rPr>
              <a:t>Clic AQUÍ para regresar al calculo</a:t>
            </a:r>
          </a:p>
        </xdr:txBody>
      </xdr:sp>
    </xdr:grpSp>
    <xdr:clientData/>
  </xdr:twoCellAnchor>
  <xdr:twoCellAnchor>
    <xdr:from>
      <xdr:col>2</xdr:col>
      <xdr:colOff>533400</xdr:colOff>
      <xdr:row>185</xdr:row>
      <xdr:rowOff>0</xdr:rowOff>
    </xdr:from>
    <xdr:to>
      <xdr:col>7</xdr:col>
      <xdr:colOff>47625</xdr:colOff>
      <xdr:row>189</xdr:row>
      <xdr:rowOff>114300</xdr:rowOff>
    </xdr:to>
    <xdr:grpSp>
      <xdr:nvGrpSpPr>
        <xdr:cNvPr id="4143" name="Group 681">
          <a:hlinkClick xmlns:r="http://schemas.openxmlformats.org/officeDocument/2006/relationships" r:id="rId7"/>
          <a:extLst>
            <a:ext uri="{FF2B5EF4-FFF2-40B4-BE49-F238E27FC236}">
              <a16:creationId xmlns:a16="http://schemas.microsoft.com/office/drawing/2014/main" id="{00000000-0008-0000-0000-00002F100000}"/>
            </a:ext>
          </a:extLst>
        </xdr:cNvPr>
        <xdr:cNvGrpSpPr>
          <a:grpSpLocks/>
        </xdr:cNvGrpSpPr>
      </xdr:nvGrpSpPr>
      <xdr:grpSpPr bwMode="auto">
        <a:xfrm>
          <a:off x="1329063" y="34412410"/>
          <a:ext cx="1358020" cy="833456"/>
          <a:chOff x="858" y="157"/>
          <a:chExt cx="130" cy="88"/>
        </a:xfrm>
      </xdr:grpSpPr>
      <xdr:sp macro="" textlink="">
        <xdr:nvSpPr>
          <xdr:cNvPr id="4181" name="AutoShape 682">
            <a:extLst>
              <a:ext uri="{FF2B5EF4-FFF2-40B4-BE49-F238E27FC236}">
                <a16:creationId xmlns:a16="http://schemas.microsoft.com/office/drawing/2014/main" id="{00000000-0008-0000-0000-000055100000}"/>
              </a:ext>
            </a:extLst>
          </xdr:cNvPr>
          <xdr:cNvSpPr>
            <a:spLocks noChangeArrowheads="1"/>
          </xdr:cNvSpPr>
        </xdr:nvSpPr>
        <xdr:spPr bwMode="auto">
          <a:xfrm>
            <a:off x="858" y="157"/>
            <a:ext cx="130" cy="88"/>
          </a:xfrm>
          <a:prstGeom prst="roundRect">
            <a:avLst>
              <a:gd name="adj" fmla="val 14773"/>
            </a:avLst>
          </a:prstGeom>
          <a:gradFill rotWithShape="0">
            <a:gsLst>
              <a:gs pos="0">
                <a:srgbClr val="FFCC00"/>
              </a:gs>
              <a:gs pos="100000">
                <a:srgbClr val="8C7000"/>
              </a:gs>
            </a:gsLst>
            <a:path path="rect">
              <a:fillToRect r="100000" b="100000"/>
            </a:path>
          </a:gradFill>
          <a:ln w="9525">
            <a:round/>
            <a:headEnd/>
            <a:tailEnd/>
          </a:ln>
          <a:effectLst/>
          <a:scene3d>
            <a:camera prst="legacyPerspectiveTop">
              <a:rot lat="0" lon="20999997" rev="0"/>
            </a:camera>
            <a:lightRig rig="legacyFlat3" dir="r"/>
          </a:scene3d>
          <a:sp3d extrusionH="430200" prstMaterial="legacyMatte">
            <a:bevelT w="13500" h="13500" prst="angle"/>
            <a:bevelB w="13500" h="13500" prst="angle"/>
            <a:extrusionClr>
              <a:srgbClr val="FFCC00"/>
            </a:extrusionClr>
          </a:sp3d>
          <a:extLs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707" name="Text Box 683">
            <a:extLst>
              <a:ext uri="{FF2B5EF4-FFF2-40B4-BE49-F238E27FC236}">
                <a16:creationId xmlns:a16="http://schemas.microsoft.com/office/drawing/2014/main" id="{00000000-0008-0000-0000-0000AB060000}"/>
              </a:ext>
            </a:extLst>
          </xdr:cNvPr>
          <xdr:cNvSpPr txBox="1">
            <a:spLocks noChangeArrowheads="1"/>
          </xdr:cNvSpPr>
        </xdr:nvSpPr>
        <xdr:spPr bwMode="auto">
          <a:xfrm>
            <a:off x="864" y="168"/>
            <a:ext cx="123" cy="52"/>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22860" rIns="36576" bIns="0" anchor="t" upright="1"/>
          <a:lstStyle/>
          <a:p>
            <a:pPr algn="ctr" rtl="0">
              <a:defRPr sz="1000"/>
            </a:pPr>
            <a:r>
              <a:rPr lang="es-MX" sz="1200" b="1" i="1" u="none" strike="noStrike" baseline="0">
                <a:solidFill>
                  <a:srgbClr val="0000FF"/>
                </a:solidFill>
                <a:latin typeface="Arial"/>
                <a:cs typeface="Arial"/>
              </a:rPr>
              <a:t>Ir a  base de datos</a:t>
            </a:r>
          </a:p>
        </xdr:txBody>
      </xdr:sp>
      <xdr:sp macro="" textlink="">
        <xdr:nvSpPr>
          <xdr:cNvPr id="4183" name="AutoShape 684">
            <a:extLst>
              <a:ext uri="{FF2B5EF4-FFF2-40B4-BE49-F238E27FC236}">
                <a16:creationId xmlns:a16="http://schemas.microsoft.com/office/drawing/2014/main" id="{00000000-0008-0000-0000-000057100000}"/>
              </a:ext>
            </a:extLst>
          </xdr:cNvPr>
          <xdr:cNvSpPr>
            <a:spLocks noChangeArrowheads="1"/>
          </xdr:cNvSpPr>
        </xdr:nvSpPr>
        <xdr:spPr bwMode="auto">
          <a:xfrm>
            <a:off x="896" y="212"/>
            <a:ext cx="52" cy="28"/>
          </a:xfrm>
          <a:prstGeom prst="rightArrow">
            <a:avLst>
              <a:gd name="adj1" fmla="val 50000"/>
              <a:gd name="adj2" fmla="val 46429"/>
            </a:avLst>
          </a:prstGeom>
          <a:solidFill>
            <a:srgbClr val="FFFF00"/>
          </a:solidFill>
          <a:ln w="9525">
            <a:solidFill>
              <a:srgbClr val="FF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grpSp>
    <xdr:clientData/>
  </xdr:twoCellAnchor>
  <xdr:twoCellAnchor editAs="oneCell">
    <xdr:from>
      <xdr:col>1</xdr:col>
      <xdr:colOff>600075</xdr:colOff>
      <xdr:row>191</xdr:row>
      <xdr:rowOff>38100</xdr:rowOff>
    </xdr:from>
    <xdr:to>
      <xdr:col>11</xdr:col>
      <xdr:colOff>504825</xdr:colOff>
      <xdr:row>218</xdr:row>
      <xdr:rowOff>95250</xdr:rowOff>
    </xdr:to>
    <xdr:sp macro="" textlink="">
      <xdr:nvSpPr>
        <xdr:cNvPr id="1713" name="Text Box 689">
          <a:extLst>
            <a:ext uri="{FF2B5EF4-FFF2-40B4-BE49-F238E27FC236}">
              <a16:creationId xmlns:a16="http://schemas.microsoft.com/office/drawing/2014/main" id="{00000000-0008-0000-0000-0000B1060000}"/>
            </a:ext>
          </a:extLst>
        </xdr:cNvPr>
        <xdr:cNvSpPr txBox="1">
          <a:spLocks noChangeArrowheads="1"/>
        </xdr:cNvSpPr>
      </xdr:nvSpPr>
      <xdr:spPr bwMode="auto">
        <a:xfrm>
          <a:off x="657225" y="35623500"/>
          <a:ext cx="4667250" cy="4943475"/>
        </a:xfrm>
        <a:prstGeom prst="rect">
          <a:avLst/>
        </a:prstGeom>
        <a:solidFill>
          <a:srgbClr val="FFCC00"/>
        </a:solidFill>
        <a:ln w="57150">
          <a:solidFill>
            <a:srgbClr val="0000FF"/>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22860" rIns="0" bIns="0" anchor="t" upright="1"/>
        <a:lstStyle/>
        <a:p>
          <a:pPr algn="l" rtl="0">
            <a:defRPr sz="1000"/>
          </a:pPr>
          <a:r>
            <a:rPr lang="es-MX" sz="1000" b="1" i="0" u="none" strike="noStrike" baseline="0">
              <a:solidFill>
                <a:srgbClr val="FFFFFF"/>
              </a:solidFill>
              <a:latin typeface="Arial"/>
              <a:cs typeface="Arial"/>
            </a:rPr>
            <a:t>               </a:t>
          </a:r>
          <a:r>
            <a:rPr lang="es-MX" sz="1000" b="1" i="0" u="none" strike="noStrike" baseline="0">
              <a:solidFill>
                <a:srgbClr val="FF0000"/>
              </a:solidFill>
              <a:latin typeface="Arial"/>
              <a:cs typeface="Arial"/>
            </a:rPr>
            <a:t>                       INSTRUCCIONES</a:t>
          </a:r>
          <a:endParaRPr lang="es-MX" sz="1000" b="0" i="0" u="none" strike="noStrike" baseline="0">
            <a:solidFill>
              <a:srgbClr val="000000"/>
            </a:solidFill>
            <a:latin typeface="Arial"/>
            <a:cs typeface="Arial"/>
          </a:endParaRPr>
        </a:p>
        <a:p>
          <a:pPr algn="l" rtl="0">
            <a:defRPr sz="1000"/>
          </a:pPr>
          <a:r>
            <a:rPr lang="es-MX" sz="1000" b="0" i="0" u="none" strike="noStrike" baseline="0">
              <a:solidFill>
                <a:srgbClr val="000000"/>
              </a:solidFill>
              <a:latin typeface="Arial"/>
              <a:cs typeface="Arial"/>
            </a:rPr>
            <a:t>Conforme se vayan dando los incrementos a los Salarios mìnimos o modificaciones a la cantidad tope de referencia registrelas sucesivamente en los renglones de la tabla, asì como la fecha de inicio de la vigencia. </a:t>
          </a:r>
        </a:p>
        <a:p>
          <a:pPr algn="l" rtl="0">
            <a:defRPr sz="1000"/>
          </a:pPr>
          <a:r>
            <a:rPr lang="es-MX" sz="1000" b="0" i="0" u="none" strike="noStrike" baseline="0">
              <a:solidFill>
                <a:srgbClr val="000000"/>
              </a:solidFill>
              <a:latin typeface="Arial"/>
              <a:cs typeface="Arial"/>
            </a:rPr>
            <a:t>En caso de modificarse solo un concepto, ya sea Salario Mìnimo o el tope de referencia documente en el espacio correspondiente el nuevo valor  y deje en blanco el espacio del concepto que no sufrio modificaciòn,ò si lo prefiere documente el valor que este vigente en ese momento</a:t>
          </a:r>
        </a:p>
        <a:p>
          <a:pPr algn="l" rtl="0">
            <a:defRPr sz="1000"/>
          </a:pPr>
          <a:r>
            <a:rPr lang="es-MX" sz="1000" b="0" i="0" u="none" strike="noStrike" baseline="0">
              <a:solidFill>
                <a:srgbClr val="000000"/>
              </a:solidFill>
              <a:latin typeface="Arial"/>
              <a:cs typeface="Arial"/>
            </a:rPr>
            <a:t>Ejemplo:</a:t>
          </a:r>
        </a:p>
        <a:p>
          <a:pPr algn="l" rtl="0">
            <a:defRPr sz="1000"/>
          </a:pPr>
          <a:endParaRPr lang="es-MX" sz="1000" b="0" i="0" u="none" strike="noStrike" baseline="0">
            <a:solidFill>
              <a:srgbClr val="000000"/>
            </a:solidFill>
            <a:latin typeface="Arial"/>
            <a:cs typeface="Arial"/>
          </a:endParaRPr>
        </a:p>
        <a:p>
          <a:pPr algn="l" rtl="0">
            <a:defRPr sz="1000"/>
          </a:pPr>
          <a:r>
            <a:rPr lang="es-MX" sz="1000" b="0" i="0" u="none" strike="noStrike" baseline="0">
              <a:solidFill>
                <a:srgbClr val="000000"/>
              </a:solidFill>
              <a:latin typeface="Arial"/>
              <a:cs typeface="Arial"/>
            </a:rPr>
            <a:t> </a:t>
          </a:r>
        </a:p>
        <a:p>
          <a:pPr algn="l" rtl="0">
            <a:defRPr sz="1000"/>
          </a:pPr>
          <a:endParaRPr lang="es-MX" sz="1000" b="0" i="0" u="none" strike="noStrike" baseline="0">
            <a:solidFill>
              <a:srgbClr val="000000"/>
            </a:solidFill>
            <a:latin typeface="Arial"/>
            <a:cs typeface="Arial"/>
          </a:endParaRPr>
        </a:p>
        <a:p>
          <a:pPr algn="l" rtl="0">
            <a:defRPr sz="1000"/>
          </a:pPr>
          <a:endParaRPr lang="es-MX" sz="1000" b="0" i="0" u="none" strike="noStrike" baseline="0">
            <a:solidFill>
              <a:srgbClr val="000000"/>
            </a:solidFill>
            <a:latin typeface="Arial"/>
            <a:cs typeface="Arial"/>
          </a:endParaRPr>
        </a:p>
      </xdr:txBody>
    </xdr:sp>
    <xdr:clientData/>
  </xdr:twoCellAnchor>
  <xdr:twoCellAnchor>
    <xdr:from>
      <xdr:col>8</xdr:col>
      <xdr:colOff>314325</xdr:colOff>
      <xdr:row>185</xdr:row>
      <xdr:rowOff>0</xdr:rowOff>
    </xdr:from>
    <xdr:to>
      <xdr:col>11</xdr:col>
      <xdr:colOff>95250</xdr:colOff>
      <xdr:row>189</xdr:row>
      <xdr:rowOff>114300</xdr:rowOff>
    </xdr:to>
    <xdr:grpSp>
      <xdr:nvGrpSpPr>
        <xdr:cNvPr id="4145" name="Group 698">
          <a:hlinkClick xmlns:r="http://schemas.openxmlformats.org/officeDocument/2006/relationships" r:id="rId2"/>
          <a:extLst>
            <a:ext uri="{FF2B5EF4-FFF2-40B4-BE49-F238E27FC236}">
              <a16:creationId xmlns:a16="http://schemas.microsoft.com/office/drawing/2014/main" id="{00000000-0008-0000-0000-000031100000}"/>
            </a:ext>
          </a:extLst>
        </xdr:cNvPr>
        <xdr:cNvGrpSpPr>
          <a:grpSpLocks/>
        </xdr:cNvGrpSpPr>
      </xdr:nvGrpSpPr>
      <xdr:grpSpPr bwMode="auto">
        <a:xfrm>
          <a:off x="3542879" y="34412410"/>
          <a:ext cx="1601769" cy="833456"/>
          <a:chOff x="900" y="3809"/>
          <a:chExt cx="130" cy="88"/>
        </a:xfrm>
      </xdr:grpSpPr>
      <xdr:sp macro="" textlink="">
        <xdr:nvSpPr>
          <xdr:cNvPr id="4178" name="AutoShape 695">
            <a:extLst>
              <a:ext uri="{FF2B5EF4-FFF2-40B4-BE49-F238E27FC236}">
                <a16:creationId xmlns:a16="http://schemas.microsoft.com/office/drawing/2014/main" id="{00000000-0008-0000-0000-000052100000}"/>
              </a:ext>
            </a:extLst>
          </xdr:cNvPr>
          <xdr:cNvSpPr>
            <a:spLocks noChangeArrowheads="1"/>
          </xdr:cNvSpPr>
        </xdr:nvSpPr>
        <xdr:spPr bwMode="auto">
          <a:xfrm>
            <a:off x="900" y="3809"/>
            <a:ext cx="130" cy="88"/>
          </a:xfrm>
          <a:prstGeom prst="roundRect">
            <a:avLst>
              <a:gd name="adj" fmla="val 14773"/>
            </a:avLst>
          </a:prstGeom>
          <a:gradFill rotWithShape="0">
            <a:gsLst>
              <a:gs pos="0">
                <a:srgbClr val="FFCC00"/>
              </a:gs>
              <a:gs pos="100000">
                <a:srgbClr val="8C7000"/>
              </a:gs>
            </a:gsLst>
            <a:path path="rect">
              <a:fillToRect r="100000" b="100000"/>
            </a:path>
          </a:gradFill>
          <a:ln w="9525">
            <a:round/>
            <a:headEnd/>
            <a:tailEnd/>
          </a:ln>
          <a:effectLst/>
          <a:scene3d>
            <a:camera prst="legacyPerspectiveTop">
              <a:rot lat="0" lon="20999997" rev="0"/>
            </a:camera>
            <a:lightRig rig="legacyFlat3" dir="r"/>
          </a:scene3d>
          <a:sp3d extrusionH="430200" prstMaterial="legacyMatte">
            <a:bevelT w="13500" h="13500" prst="angle"/>
            <a:bevelB w="13500" h="13500" prst="angle"/>
            <a:extrusionClr>
              <a:srgbClr val="FFCC00"/>
            </a:extrusionClr>
          </a:sp3d>
          <a:extLs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720" name="Text Box 696">
            <a:extLst>
              <a:ext uri="{FF2B5EF4-FFF2-40B4-BE49-F238E27FC236}">
                <a16:creationId xmlns:a16="http://schemas.microsoft.com/office/drawing/2014/main" id="{00000000-0008-0000-0000-0000B8060000}"/>
              </a:ext>
            </a:extLst>
          </xdr:cNvPr>
          <xdr:cNvSpPr txBox="1">
            <a:spLocks noChangeArrowheads="1"/>
          </xdr:cNvSpPr>
        </xdr:nvSpPr>
        <xdr:spPr bwMode="auto">
          <a:xfrm>
            <a:off x="906" y="3820"/>
            <a:ext cx="123" cy="52"/>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22860" rIns="36576" bIns="0" anchor="t" upright="1"/>
          <a:lstStyle/>
          <a:p>
            <a:pPr algn="ctr" rtl="0">
              <a:defRPr sz="1000"/>
            </a:pPr>
            <a:r>
              <a:rPr lang="es-MX" sz="1200" b="1" i="1" u="none" strike="noStrike" baseline="0">
                <a:solidFill>
                  <a:srgbClr val="0000FF"/>
                </a:solidFill>
                <a:latin typeface="Arial"/>
                <a:cs typeface="Arial"/>
              </a:rPr>
              <a:t>Regresar al calculo</a:t>
            </a:r>
          </a:p>
        </xdr:txBody>
      </xdr:sp>
      <xdr:sp macro="" textlink="">
        <xdr:nvSpPr>
          <xdr:cNvPr id="4180" name="AutoShape 697">
            <a:extLst>
              <a:ext uri="{FF2B5EF4-FFF2-40B4-BE49-F238E27FC236}">
                <a16:creationId xmlns:a16="http://schemas.microsoft.com/office/drawing/2014/main" id="{00000000-0008-0000-0000-000054100000}"/>
              </a:ext>
            </a:extLst>
          </xdr:cNvPr>
          <xdr:cNvSpPr>
            <a:spLocks noChangeArrowheads="1"/>
          </xdr:cNvSpPr>
        </xdr:nvSpPr>
        <xdr:spPr bwMode="auto">
          <a:xfrm>
            <a:off x="938" y="3864"/>
            <a:ext cx="52" cy="28"/>
          </a:xfrm>
          <a:prstGeom prst="rightArrow">
            <a:avLst>
              <a:gd name="adj1" fmla="val 50000"/>
              <a:gd name="adj2" fmla="val 46429"/>
            </a:avLst>
          </a:prstGeom>
          <a:solidFill>
            <a:srgbClr val="FFFF00"/>
          </a:solidFill>
          <a:ln w="9525">
            <a:solidFill>
              <a:srgbClr val="FF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grpSp>
    <xdr:clientData/>
  </xdr:twoCellAnchor>
  <xdr:twoCellAnchor>
    <xdr:from>
      <xdr:col>62</xdr:col>
      <xdr:colOff>209550</xdr:colOff>
      <xdr:row>125</xdr:row>
      <xdr:rowOff>85725</xdr:rowOff>
    </xdr:from>
    <xdr:to>
      <xdr:col>62</xdr:col>
      <xdr:colOff>209550</xdr:colOff>
      <xdr:row>128</xdr:row>
      <xdr:rowOff>85725</xdr:rowOff>
    </xdr:to>
    <xdr:sp macro="" textlink="">
      <xdr:nvSpPr>
        <xdr:cNvPr id="4146" name="Line 911">
          <a:extLst>
            <a:ext uri="{FF2B5EF4-FFF2-40B4-BE49-F238E27FC236}">
              <a16:creationId xmlns:a16="http://schemas.microsoft.com/office/drawing/2014/main" id="{00000000-0008-0000-0000-000032100000}"/>
            </a:ext>
          </a:extLst>
        </xdr:cNvPr>
        <xdr:cNvSpPr>
          <a:spLocks noChangeShapeType="1"/>
        </xdr:cNvSpPr>
      </xdr:nvSpPr>
      <xdr:spPr bwMode="auto">
        <a:xfrm flipV="1">
          <a:off x="21212175" y="23726775"/>
          <a:ext cx="0" cy="542925"/>
        </a:xfrm>
        <a:prstGeom prst="line">
          <a:avLst/>
        </a:prstGeom>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62</xdr:col>
      <xdr:colOff>209550</xdr:colOff>
      <xdr:row>125</xdr:row>
      <xdr:rowOff>152400</xdr:rowOff>
    </xdr:from>
    <xdr:to>
      <xdr:col>62</xdr:col>
      <xdr:colOff>209550</xdr:colOff>
      <xdr:row>128</xdr:row>
      <xdr:rowOff>95250</xdr:rowOff>
    </xdr:to>
    <xdr:sp macro="" textlink="">
      <xdr:nvSpPr>
        <xdr:cNvPr id="4147" name="Line 912">
          <a:extLst>
            <a:ext uri="{FF2B5EF4-FFF2-40B4-BE49-F238E27FC236}">
              <a16:creationId xmlns:a16="http://schemas.microsoft.com/office/drawing/2014/main" id="{00000000-0008-0000-0000-000033100000}"/>
            </a:ext>
          </a:extLst>
        </xdr:cNvPr>
        <xdr:cNvSpPr>
          <a:spLocks noChangeShapeType="1"/>
        </xdr:cNvSpPr>
      </xdr:nvSpPr>
      <xdr:spPr bwMode="auto">
        <a:xfrm flipV="1">
          <a:off x="21212175" y="23793450"/>
          <a:ext cx="0" cy="485775"/>
        </a:xfrm>
        <a:prstGeom prst="line">
          <a:avLst/>
        </a:prstGeom>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62</xdr:col>
      <xdr:colOff>209550</xdr:colOff>
      <xdr:row>125</xdr:row>
      <xdr:rowOff>85725</xdr:rowOff>
    </xdr:from>
    <xdr:to>
      <xdr:col>62</xdr:col>
      <xdr:colOff>209550</xdr:colOff>
      <xdr:row>128</xdr:row>
      <xdr:rowOff>85725</xdr:rowOff>
    </xdr:to>
    <xdr:sp macro="" textlink="">
      <xdr:nvSpPr>
        <xdr:cNvPr id="4148" name="Line 913">
          <a:extLst>
            <a:ext uri="{FF2B5EF4-FFF2-40B4-BE49-F238E27FC236}">
              <a16:creationId xmlns:a16="http://schemas.microsoft.com/office/drawing/2014/main" id="{00000000-0008-0000-0000-000034100000}"/>
            </a:ext>
          </a:extLst>
        </xdr:cNvPr>
        <xdr:cNvSpPr>
          <a:spLocks noChangeShapeType="1"/>
        </xdr:cNvSpPr>
      </xdr:nvSpPr>
      <xdr:spPr bwMode="auto">
        <a:xfrm flipV="1">
          <a:off x="21212175" y="23726775"/>
          <a:ext cx="0" cy="542925"/>
        </a:xfrm>
        <a:prstGeom prst="line">
          <a:avLst/>
        </a:prstGeom>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62</xdr:col>
      <xdr:colOff>209550</xdr:colOff>
      <xdr:row>125</xdr:row>
      <xdr:rowOff>152400</xdr:rowOff>
    </xdr:from>
    <xdr:to>
      <xdr:col>62</xdr:col>
      <xdr:colOff>209550</xdr:colOff>
      <xdr:row>128</xdr:row>
      <xdr:rowOff>95250</xdr:rowOff>
    </xdr:to>
    <xdr:sp macro="" textlink="">
      <xdr:nvSpPr>
        <xdr:cNvPr id="4149" name="Line 914">
          <a:extLst>
            <a:ext uri="{FF2B5EF4-FFF2-40B4-BE49-F238E27FC236}">
              <a16:creationId xmlns:a16="http://schemas.microsoft.com/office/drawing/2014/main" id="{00000000-0008-0000-0000-000035100000}"/>
            </a:ext>
          </a:extLst>
        </xdr:cNvPr>
        <xdr:cNvSpPr>
          <a:spLocks noChangeShapeType="1"/>
        </xdr:cNvSpPr>
      </xdr:nvSpPr>
      <xdr:spPr bwMode="auto">
        <a:xfrm flipV="1">
          <a:off x="21212175" y="23793450"/>
          <a:ext cx="0" cy="485775"/>
        </a:xfrm>
        <a:prstGeom prst="line">
          <a:avLst/>
        </a:prstGeom>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62</xdr:col>
      <xdr:colOff>209550</xdr:colOff>
      <xdr:row>125</xdr:row>
      <xdr:rowOff>85725</xdr:rowOff>
    </xdr:from>
    <xdr:to>
      <xdr:col>62</xdr:col>
      <xdr:colOff>209550</xdr:colOff>
      <xdr:row>128</xdr:row>
      <xdr:rowOff>85725</xdr:rowOff>
    </xdr:to>
    <xdr:sp macro="" textlink="">
      <xdr:nvSpPr>
        <xdr:cNvPr id="4150" name="Line 915">
          <a:extLst>
            <a:ext uri="{FF2B5EF4-FFF2-40B4-BE49-F238E27FC236}">
              <a16:creationId xmlns:a16="http://schemas.microsoft.com/office/drawing/2014/main" id="{00000000-0008-0000-0000-000036100000}"/>
            </a:ext>
          </a:extLst>
        </xdr:cNvPr>
        <xdr:cNvSpPr>
          <a:spLocks noChangeShapeType="1"/>
        </xdr:cNvSpPr>
      </xdr:nvSpPr>
      <xdr:spPr bwMode="auto">
        <a:xfrm flipV="1">
          <a:off x="21212175" y="23726775"/>
          <a:ext cx="0" cy="542925"/>
        </a:xfrm>
        <a:prstGeom prst="line">
          <a:avLst/>
        </a:prstGeom>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62</xdr:col>
      <xdr:colOff>209550</xdr:colOff>
      <xdr:row>125</xdr:row>
      <xdr:rowOff>152400</xdr:rowOff>
    </xdr:from>
    <xdr:to>
      <xdr:col>62</xdr:col>
      <xdr:colOff>209550</xdr:colOff>
      <xdr:row>128</xdr:row>
      <xdr:rowOff>95250</xdr:rowOff>
    </xdr:to>
    <xdr:sp macro="" textlink="">
      <xdr:nvSpPr>
        <xdr:cNvPr id="4151" name="Line 916">
          <a:extLst>
            <a:ext uri="{FF2B5EF4-FFF2-40B4-BE49-F238E27FC236}">
              <a16:creationId xmlns:a16="http://schemas.microsoft.com/office/drawing/2014/main" id="{00000000-0008-0000-0000-000037100000}"/>
            </a:ext>
          </a:extLst>
        </xdr:cNvPr>
        <xdr:cNvSpPr>
          <a:spLocks noChangeShapeType="1"/>
        </xdr:cNvSpPr>
      </xdr:nvSpPr>
      <xdr:spPr bwMode="auto">
        <a:xfrm flipV="1">
          <a:off x="21212175" y="23793450"/>
          <a:ext cx="0" cy="485775"/>
        </a:xfrm>
        <a:prstGeom prst="line">
          <a:avLst/>
        </a:prstGeom>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xdr:col>
      <xdr:colOff>9525</xdr:colOff>
      <xdr:row>200</xdr:row>
      <xdr:rowOff>9525</xdr:rowOff>
    </xdr:from>
    <xdr:to>
      <xdr:col>11</xdr:col>
      <xdr:colOff>390525</xdr:colOff>
      <xdr:row>217</xdr:row>
      <xdr:rowOff>123825</xdr:rowOff>
    </xdr:to>
    <xdr:pic>
      <xdr:nvPicPr>
        <xdr:cNvPr id="4152" name="Picture 917">
          <a:extLst>
            <a:ext uri="{FF2B5EF4-FFF2-40B4-BE49-F238E27FC236}">
              <a16:creationId xmlns:a16="http://schemas.microsoft.com/office/drawing/2014/main" id="{00000000-0008-0000-0000-000038100000}"/>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l="19376" t="27499" r="46249" b="35834"/>
        <a:stretch>
          <a:fillRect/>
        </a:stretch>
      </xdr:blipFill>
      <xdr:spPr bwMode="auto">
        <a:xfrm>
          <a:off x="771525" y="37223700"/>
          <a:ext cx="4438650" cy="3190875"/>
        </a:xfrm>
        <a:prstGeom prst="rect">
          <a:avLst/>
        </a:prstGeom>
        <a:noFill/>
        <a:ln>
          <a:noFill/>
        </a:ln>
        <a:effectLst/>
        <a:extLst>
          <a:ext uri="{909E8E84-426E-40DD-AFC4-6F175D3DCCD1}">
            <a14:hiddenFill xmlns:a14="http://schemas.microsoft.com/office/drawing/2010/main">
              <a:solidFill>
                <a:srgbClr val="00CC99"/>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16</xdr:col>
      <xdr:colOff>800100</xdr:colOff>
      <xdr:row>7</xdr:row>
      <xdr:rowOff>1171575</xdr:rowOff>
    </xdr:from>
    <xdr:to>
      <xdr:col>23</xdr:col>
      <xdr:colOff>95250</xdr:colOff>
      <xdr:row>7</xdr:row>
      <xdr:rowOff>1790700</xdr:rowOff>
    </xdr:to>
    <xdr:grpSp>
      <xdr:nvGrpSpPr>
        <xdr:cNvPr id="4153" name="Group 938">
          <a:hlinkClick xmlns:r="http://schemas.openxmlformats.org/officeDocument/2006/relationships" r:id="rId9"/>
          <a:extLst>
            <a:ext uri="{FF2B5EF4-FFF2-40B4-BE49-F238E27FC236}">
              <a16:creationId xmlns:a16="http://schemas.microsoft.com/office/drawing/2014/main" id="{00000000-0008-0000-0000-000039100000}"/>
            </a:ext>
          </a:extLst>
        </xdr:cNvPr>
        <xdr:cNvGrpSpPr>
          <a:grpSpLocks/>
        </xdr:cNvGrpSpPr>
      </xdr:nvGrpSpPr>
      <xdr:grpSpPr bwMode="auto">
        <a:xfrm>
          <a:off x="8701948" y="2124075"/>
          <a:ext cx="1733091" cy="619125"/>
          <a:chOff x="1045" y="202"/>
          <a:chExt cx="175" cy="65"/>
        </a:xfrm>
      </xdr:grpSpPr>
      <xdr:grpSp>
        <xdr:nvGrpSpPr>
          <xdr:cNvPr id="4174" name="Group 920">
            <a:extLst>
              <a:ext uri="{FF2B5EF4-FFF2-40B4-BE49-F238E27FC236}">
                <a16:creationId xmlns:a16="http://schemas.microsoft.com/office/drawing/2014/main" id="{00000000-0008-0000-0000-00004E100000}"/>
              </a:ext>
            </a:extLst>
          </xdr:cNvPr>
          <xdr:cNvGrpSpPr>
            <a:grpSpLocks/>
          </xdr:cNvGrpSpPr>
        </xdr:nvGrpSpPr>
        <xdr:grpSpPr bwMode="auto">
          <a:xfrm>
            <a:off x="1055" y="202"/>
            <a:ext cx="155" cy="65"/>
            <a:chOff x="870" y="466"/>
            <a:chExt cx="130" cy="88"/>
          </a:xfrm>
        </xdr:grpSpPr>
        <xdr:sp macro="" textlink="">
          <xdr:nvSpPr>
            <xdr:cNvPr id="4176" name="AutoShape 921">
              <a:extLst>
                <a:ext uri="{FF2B5EF4-FFF2-40B4-BE49-F238E27FC236}">
                  <a16:creationId xmlns:a16="http://schemas.microsoft.com/office/drawing/2014/main" id="{00000000-0008-0000-0000-000050100000}"/>
                </a:ext>
              </a:extLst>
            </xdr:cNvPr>
            <xdr:cNvSpPr>
              <a:spLocks noChangeArrowheads="1"/>
            </xdr:cNvSpPr>
          </xdr:nvSpPr>
          <xdr:spPr bwMode="auto">
            <a:xfrm>
              <a:off x="870" y="466"/>
              <a:ext cx="130" cy="88"/>
            </a:xfrm>
            <a:prstGeom prst="roundRect">
              <a:avLst>
                <a:gd name="adj" fmla="val 14773"/>
              </a:avLst>
            </a:prstGeom>
            <a:gradFill rotWithShape="0">
              <a:gsLst>
                <a:gs pos="0">
                  <a:srgbClr val="FFCC00"/>
                </a:gs>
                <a:gs pos="100000">
                  <a:srgbClr val="8C7000"/>
                </a:gs>
              </a:gsLst>
              <a:path path="rect">
                <a:fillToRect r="100000" b="100000"/>
              </a:path>
            </a:gradFill>
            <a:ln w="9525">
              <a:round/>
              <a:headEnd/>
              <a:tailEnd/>
            </a:ln>
            <a:effectLst/>
            <a:scene3d>
              <a:camera prst="legacyPerspectiveTop">
                <a:rot lat="0" lon="20999997" rev="0"/>
              </a:camera>
              <a:lightRig rig="legacyFlat3" dir="r"/>
            </a:scene3d>
            <a:sp3d extrusionH="430200" prstMaterial="legacyMatte">
              <a:bevelT w="13500" h="13500" prst="angle"/>
              <a:bevelB w="13500" h="13500" prst="angle"/>
              <a:extrusionClr>
                <a:srgbClr val="FFCC00"/>
              </a:extrusionClr>
            </a:sp3d>
            <a:extLs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4177" name="AutoShape 922">
              <a:extLst>
                <a:ext uri="{FF2B5EF4-FFF2-40B4-BE49-F238E27FC236}">
                  <a16:creationId xmlns:a16="http://schemas.microsoft.com/office/drawing/2014/main" id="{00000000-0008-0000-0000-000051100000}"/>
                </a:ext>
              </a:extLst>
            </xdr:cNvPr>
            <xdr:cNvSpPr>
              <a:spLocks noChangeArrowheads="1"/>
            </xdr:cNvSpPr>
          </xdr:nvSpPr>
          <xdr:spPr bwMode="auto">
            <a:xfrm>
              <a:off x="909" y="524"/>
              <a:ext cx="52" cy="28"/>
            </a:xfrm>
            <a:prstGeom prst="rightArrow">
              <a:avLst>
                <a:gd name="adj1" fmla="val 50000"/>
                <a:gd name="adj2" fmla="val 46429"/>
              </a:avLst>
            </a:prstGeom>
            <a:solidFill>
              <a:srgbClr val="FFFF00"/>
            </a:solidFill>
            <a:ln w="9525">
              <a:solidFill>
                <a:srgbClr val="FF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grpSp>
      <xdr:sp macro="" textlink="">
        <xdr:nvSpPr>
          <xdr:cNvPr id="1947" name="Text Box 923">
            <a:extLst>
              <a:ext uri="{FF2B5EF4-FFF2-40B4-BE49-F238E27FC236}">
                <a16:creationId xmlns:a16="http://schemas.microsoft.com/office/drawing/2014/main" id="{00000000-0008-0000-0000-00009B070000}"/>
              </a:ext>
            </a:extLst>
          </xdr:cNvPr>
          <xdr:cNvSpPr txBox="1">
            <a:spLocks noChangeArrowheads="1"/>
          </xdr:cNvSpPr>
        </xdr:nvSpPr>
        <xdr:spPr bwMode="auto">
          <a:xfrm>
            <a:off x="1045" y="204"/>
            <a:ext cx="175" cy="44"/>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22860" rIns="36576" bIns="0" anchor="t" upright="1"/>
          <a:lstStyle/>
          <a:p>
            <a:pPr algn="ctr" rtl="0">
              <a:defRPr sz="1000"/>
            </a:pPr>
            <a:r>
              <a:rPr lang="es-MX" sz="1200" b="1" i="1" u="none" strike="noStrike" baseline="0">
                <a:solidFill>
                  <a:srgbClr val="0000FF"/>
                </a:solidFill>
                <a:latin typeface="Arial"/>
                <a:cs typeface="Arial"/>
              </a:rPr>
              <a:t>Ir al algoritmo del calculo</a:t>
            </a:r>
          </a:p>
        </xdr:txBody>
      </xdr:sp>
    </xdr:grpSp>
    <xdr:clientData/>
  </xdr:twoCellAnchor>
  <xdr:twoCellAnchor>
    <xdr:from>
      <xdr:col>18</xdr:col>
      <xdr:colOff>38100</xdr:colOff>
      <xdr:row>7</xdr:row>
      <xdr:rowOff>2124075</xdr:rowOff>
    </xdr:from>
    <xdr:to>
      <xdr:col>23</xdr:col>
      <xdr:colOff>0</xdr:colOff>
      <xdr:row>10</xdr:row>
      <xdr:rowOff>95250</xdr:rowOff>
    </xdr:to>
    <xdr:grpSp>
      <xdr:nvGrpSpPr>
        <xdr:cNvPr id="4154" name="Group 940">
          <a:hlinkClick xmlns:r="http://schemas.openxmlformats.org/officeDocument/2006/relationships" r:id="rId10"/>
          <a:extLst>
            <a:ext uri="{FF2B5EF4-FFF2-40B4-BE49-F238E27FC236}">
              <a16:creationId xmlns:a16="http://schemas.microsoft.com/office/drawing/2014/main" id="{00000000-0008-0000-0000-00003A100000}"/>
            </a:ext>
          </a:extLst>
        </xdr:cNvPr>
        <xdr:cNvGrpSpPr>
          <a:grpSpLocks/>
        </xdr:cNvGrpSpPr>
      </xdr:nvGrpSpPr>
      <xdr:grpSpPr bwMode="auto">
        <a:xfrm>
          <a:off x="8790389" y="3076575"/>
          <a:ext cx="1549400" cy="622109"/>
          <a:chOff x="884" y="266"/>
          <a:chExt cx="155" cy="65"/>
        </a:xfrm>
      </xdr:grpSpPr>
      <xdr:grpSp>
        <xdr:nvGrpSpPr>
          <xdr:cNvPr id="4170" name="Group 924">
            <a:extLst>
              <a:ext uri="{FF2B5EF4-FFF2-40B4-BE49-F238E27FC236}">
                <a16:creationId xmlns:a16="http://schemas.microsoft.com/office/drawing/2014/main" id="{00000000-0008-0000-0000-00004A100000}"/>
              </a:ext>
            </a:extLst>
          </xdr:cNvPr>
          <xdr:cNvGrpSpPr>
            <a:grpSpLocks/>
          </xdr:cNvGrpSpPr>
        </xdr:nvGrpSpPr>
        <xdr:grpSpPr bwMode="auto">
          <a:xfrm>
            <a:off x="884" y="266"/>
            <a:ext cx="155" cy="65"/>
            <a:chOff x="870" y="466"/>
            <a:chExt cx="130" cy="88"/>
          </a:xfrm>
        </xdr:grpSpPr>
        <xdr:sp macro="" textlink="">
          <xdr:nvSpPr>
            <xdr:cNvPr id="4172" name="AutoShape 925">
              <a:extLst>
                <a:ext uri="{FF2B5EF4-FFF2-40B4-BE49-F238E27FC236}">
                  <a16:creationId xmlns:a16="http://schemas.microsoft.com/office/drawing/2014/main" id="{00000000-0008-0000-0000-00004C100000}"/>
                </a:ext>
              </a:extLst>
            </xdr:cNvPr>
            <xdr:cNvSpPr>
              <a:spLocks noChangeArrowheads="1"/>
            </xdr:cNvSpPr>
          </xdr:nvSpPr>
          <xdr:spPr bwMode="auto">
            <a:xfrm>
              <a:off x="870" y="466"/>
              <a:ext cx="130" cy="88"/>
            </a:xfrm>
            <a:prstGeom prst="roundRect">
              <a:avLst>
                <a:gd name="adj" fmla="val 14773"/>
              </a:avLst>
            </a:prstGeom>
            <a:gradFill rotWithShape="0">
              <a:gsLst>
                <a:gs pos="0">
                  <a:srgbClr val="FFCC00"/>
                </a:gs>
                <a:gs pos="100000">
                  <a:srgbClr val="8C7000"/>
                </a:gs>
              </a:gsLst>
              <a:path path="rect">
                <a:fillToRect r="100000" b="100000"/>
              </a:path>
            </a:gradFill>
            <a:ln w="9525">
              <a:round/>
              <a:headEnd/>
              <a:tailEnd/>
            </a:ln>
            <a:effectLst/>
            <a:scene3d>
              <a:camera prst="legacyPerspectiveTop">
                <a:rot lat="0" lon="20999997" rev="0"/>
              </a:camera>
              <a:lightRig rig="legacyFlat3" dir="r"/>
            </a:scene3d>
            <a:sp3d extrusionH="430200" prstMaterial="legacyMatte">
              <a:bevelT w="13500" h="13500" prst="angle"/>
              <a:bevelB w="13500" h="13500" prst="angle"/>
              <a:extrusionClr>
                <a:srgbClr val="FFCC00"/>
              </a:extrusionClr>
            </a:sp3d>
            <a:extLs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4173" name="AutoShape 926">
              <a:extLst>
                <a:ext uri="{FF2B5EF4-FFF2-40B4-BE49-F238E27FC236}">
                  <a16:creationId xmlns:a16="http://schemas.microsoft.com/office/drawing/2014/main" id="{00000000-0008-0000-0000-00004D100000}"/>
                </a:ext>
              </a:extLst>
            </xdr:cNvPr>
            <xdr:cNvSpPr>
              <a:spLocks noChangeArrowheads="1"/>
            </xdr:cNvSpPr>
          </xdr:nvSpPr>
          <xdr:spPr bwMode="auto">
            <a:xfrm>
              <a:off x="909" y="524"/>
              <a:ext cx="52" cy="28"/>
            </a:xfrm>
            <a:prstGeom prst="rightArrow">
              <a:avLst>
                <a:gd name="adj1" fmla="val 50000"/>
                <a:gd name="adj2" fmla="val 46429"/>
              </a:avLst>
            </a:prstGeom>
            <a:solidFill>
              <a:srgbClr val="FFFF00"/>
            </a:solidFill>
            <a:ln w="9525">
              <a:solidFill>
                <a:srgbClr val="FF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grpSp>
      <xdr:sp macro="" textlink="">
        <xdr:nvSpPr>
          <xdr:cNvPr id="1580" name="Text Box 556">
            <a:extLst>
              <a:ext uri="{FF2B5EF4-FFF2-40B4-BE49-F238E27FC236}">
                <a16:creationId xmlns:a16="http://schemas.microsoft.com/office/drawing/2014/main" id="{00000000-0008-0000-0000-00002C060000}"/>
              </a:ext>
            </a:extLst>
          </xdr:cNvPr>
          <xdr:cNvSpPr txBox="1">
            <a:spLocks noChangeArrowheads="1"/>
          </xdr:cNvSpPr>
        </xdr:nvSpPr>
        <xdr:spPr bwMode="auto">
          <a:xfrm>
            <a:off x="884" y="267"/>
            <a:ext cx="151" cy="4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22860" rIns="36576" bIns="0" anchor="t" upright="1"/>
          <a:lstStyle/>
          <a:p>
            <a:pPr algn="ctr" rtl="0">
              <a:defRPr sz="1000"/>
            </a:pPr>
            <a:r>
              <a:rPr lang="es-MX" sz="1200" b="1" i="1" u="none" strike="noStrike" baseline="0">
                <a:solidFill>
                  <a:srgbClr val="0000FF"/>
                </a:solidFill>
                <a:latin typeface="Arial"/>
                <a:cs typeface="Arial"/>
              </a:rPr>
              <a:t>Ir a criterios de redondeo</a:t>
            </a:r>
          </a:p>
        </xdr:txBody>
      </xdr:sp>
    </xdr:grpSp>
    <xdr:clientData/>
  </xdr:twoCellAnchor>
  <xdr:twoCellAnchor>
    <xdr:from>
      <xdr:col>18</xdr:col>
      <xdr:colOff>38100</xdr:colOff>
      <xdr:row>7</xdr:row>
      <xdr:rowOff>219075</xdr:rowOff>
    </xdr:from>
    <xdr:to>
      <xdr:col>23</xdr:col>
      <xdr:colOff>0</xdr:colOff>
      <xdr:row>7</xdr:row>
      <xdr:rowOff>838200</xdr:rowOff>
    </xdr:to>
    <xdr:grpSp>
      <xdr:nvGrpSpPr>
        <xdr:cNvPr id="4155" name="Group 939">
          <a:hlinkClick xmlns:r="http://schemas.openxmlformats.org/officeDocument/2006/relationships" r:id="rId11"/>
          <a:extLst>
            <a:ext uri="{FF2B5EF4-FFF2-40B4-BE49-F238E27FC236}">
              <a16:creationId xmlns:a16="http://schemas.microsoft.com/office/drawing/2014/main" id="{00000000-0008-0000-0000-00003B100000}"/>
            </a:ext>
          </a:extLst>
        </xdr:cNvPr>
        <xdr:cNvGrpSpPr>
          <a:grpSpLocks/>
        </xdr:cNvGrpSpPr>
      </xdr:nvGrpSpPr>
      <xdr:grpSpPr bwMode="auto">
        <a:xfrm>
          <a:off x="8790389" y="1171575"/>
          <a:ext cx="1549400" cy="619125"/>
          <a:chOff x="882" y="100"/>
          <a:chExt cx="155" cy="65"/>
        </a:xfrm>
      </xdr:grpSpPr>
      <xdr:grpSp>
        <xdr:nvGrpSpPr>
          <xdr:cNvPr id="4166" name="Group 927">
            <a:extLst>
              <a:ext uri="{FF2B5EF4-FFF2-40B4-BE49-F238E27FC236}">
                <a16:creationId xmlns:a16="http://schemas.microsoft.com/office/drawing/2014/main" id="{00000000-0008-0000-0000-000046100000}"/>
              </a:ext>
            </a:extLst>
          </xdr:cNvPr>
          <xdr:cNvGrpSpPr>
            <a:grpSpLocks/>
          </xdr:cNvGrpSpPr>
        </xdr:nvGrpSpPr>
        <xdr:grpSpPr bwMode="auto">
          <a:xfrm>
            <a:off x="882" y="100"/>
            <a:ext cx="155" cy="65"/>
            <a:chOff x="870" y="466"/>
            <a:chExt cx="130" cy="88"/>
          </a:xfrm>
        </xdr:grpSpPr>
        <xdr:sp macro="" textlink="">
          <xdr:nvSpPr>
            <xdr:cNvPr id="4168" name="AutoShape 928">
              <a:extLst>
                <a:ext uri="{FF2B5EF4-FFF2-40B4-BE49-F238E27FC236}">
                  <a16:creationId xmlns:a16="http://schemas.microsoft.com/office/drawing/2014/main" id="{00000000-0008-0000-0000-000048100000}"/>
                </a:ext>
              </a:extLst>
            </xdr:cNvPr>
            <xdr:cNvSpPr>
              <a:spLocks noChangeArrowheads="1"/>
            </xdr:cNvSpPr>
          </xdr:nvSpPr>
          <xdr:spPr bwMode="auto">
            <a:xfrm>
              <a:off x="870" y="466"/>
              <a:ext cx="130" cy="88"/>
            </a:xfrm>
            <a:prstGeom prst="roundRect">
              <a:avLst>
                <a:gd name="adj" fmla="val 14773"/>
              </a:avLst>
            </a:prstGeom>
            <a:gradFill rotWithShape="0">
              <a:gsLst>
                <a:gs pos="0">
                  <a:srgbClr val="FFCC00"/>
                </a:gs>
                <a:gs pos="100000">
                  <a:srgbClr val="8C7000"/>
                </a:gs>
              </a:gsLst>
              <a:path path="rect">
                <a:fillToRect r="100000" b="100000"/>
              </a:path>
            </a:gradFill>
            <a:ln w="9525">
              <a:round/>
              <a:headEnd/>
              <a:tailEnd/>
            </a:ln>
            <a:effectLst/>
            <a:scene3d>
              <a:camera prst="legacyPerspectiveTop">
                <a:rot lat="0" lon="20999997" rev="0"/>
              </a:camera>
              <a:lightRig rig="legacyFlat3" dir="r"/>
            </a:scene3d>
            <a:sp3d extrusionH="430200" prstMaterial="legacyMatte">
              <a:bevelT w="13500" h="13500" prst="angle"/>
              <a:bevelB w="13500" h="13500" prst="angle"/>
              <a:extrusionClr>
                <a:srgbClr val="FFCC00"/>
              </a:extrusionClr>
            </a:sp3d>
            <a:extLs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4169" name="AutoShape 929">
              <a:extLst>
                <a:ext uri="{FF2B5EF4-FFF2-40B4-BE49-F238E27FC236}">
                  <a16:creationId xmlns:a16="http://schemas.microsoft.com/office/drawing/2014/main" id="{00000000-0008-0000-0000-000049100000}"/>
                </a:ext>
              </a:extLst>
            </xdr:cNvPr>
            <xdr:cNvSpPr>
              <a:spLocks noChangeArrowheads="1"/>
            </xdr:cNvSpPr>
          </xdr:nvSpPr>
          <xdr:spPr bwMode="auto">
            <a:xfrm>
              <a:off x="909" y="524"/>
              <a:ext cx="52" cy="28"/>
            </a:xfrm>
            <a:prstGeom prst="rightArrow">
              <a:avLst>
                <a:gd name="adj1" fmla="val 50000"/>
                <a:gd name="adj2" fmla="val 46429"/>
              </a:avLst>
            </a:prstGeom>
            <a:solidFill>
              <a:srgbClr val="FFFF00"/>
            </a:solidFill>
            <a:ln w="9525">
              <a:solidFill>
                <a:srgbClr val="FF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grpSp>
      <xdr:sp macro="" textlink="">
        <xdr:nvSpPr>
          <xdr:cNvPr id="1221" name="Text Box 197">
            <a:extLst>
              <a:ext uri="{FF2B5EF4-FFF2-40B4-BE49-F238E27FC236}">
                <a16:creationId xmlns:a16="http://schemas.microsoft.com/office/drawing/2014/main" id="{00000000-0008-0000-0000-0000C5040000}"/>
              </a:ext>
            </a:extLst>
          </xdr:cNvPr>
          <xdr:cNvSpPr txBox="1">
            <a:spLocks noChangeArrowheads="1"/>
          </xdr:cNvSpPr>
        </xdr:nvSpPr>
        <xdr:spPr bwMode="auto">
          <a:xfrm>
            <a:off x="898" y="103"/>
            <a:ext cx="123" cy="52"/>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22860" rIns="36576" bIns="0" anchor="t" upright="1"/>
          <a:lstStyle/>
          <a:p>
            <a:pPr algn="ctr" rtl="0">
              <a:defRPr sz="1000"/>
            </a:pPr>
            <a:r>
              <a:rPr lang="es-MX" sz="1200" b="1" i="1" u="none" strike="noStrike" baseline="0">
                <a:solidFill>
                  <a:srgbClr val="0000FF"/>
                </a:solidFill>
                <a:latin typeface="Arial"/>
                <a:cs typeface="Arial"/>
              </a:rPr>
              <a:t>Ir a  base de datos</a:t>
            </a:r>
          </a:p>
        </xdr:txBody>
      </xdr:sp>
    </xdr:grpSp>
    <xdr:clientData/>
  </xdr:twoCellAnchor>
  <xdr:twoCellAnchor>
    <xdr:from>
      <xdr:col>18</xdr:col>
      <xdr:colOff>19050</xdr:colOff>
      <xdr:row>12</xdr:row>
      <xdr:rowOff>133350</xdr:rowOff>
    </xdr:from>
    <xdr:to>
      <xdr:col>23</xdr:col>
      <xdr:colOff>38100</xdr:colOff>
      <xdr:row>17</xdr:row>
      <xdr:rowOff>0</xdr:rowOff>
    </xdr:to>
    <xdr:grpSp>
      <xdr:nvGrpSpPr>
        <xdr:cNvPr id="4156" name="Group 944">
          <a:hlinkClick xmlns:r="http://schemas.openxmlformats.org/officeDocument/2006/relationships" r:id="rId12"/>
          <a:extLst>
            <a:ext uri="{FF2B5EF4-FFF2-40B4-BE49-F238E27FC236}">
              <a16:creationId xmlns:a16="http://schemas.microsoft.com/office/drawing/2014/main" id="{00000000-0008-0000-0000-00003C100000}"/>
            </a:ext>
          </a:extLst>
        </xdr:cNvPr>
        <xdr:cNvGrpSpPr>
          <a:grpSpLocks/>
        </xdr:cNvGrpSpPr>
      </xdr:nvGrpSpPr>
      <xdr:grpSpPr bwMode="auto">
        <a:xfrm>
          <a:off x="8771339" y="4035157"/>
          <a:ext cx="1606550" cy="627885"/>
          <a:chOff x="865" y="423"/>
          <a:chExt cx="161" cy="65"/>
        </a:xfrm>
      </xdr:grpSpPr>
      <xdr:grpSp>
        <xdr:nvGrpSpPr>
          <xdr:cNvPr id="4162" name="Group 937">
            <a:extLst>
              <a:ext uri="{FF2B5EF4-FFF2-40B4-BE49-F238E27FC236}">
                <a16:creationId xmlns:a16="http://schemas.microsoft.com/office/drawing/2014/main" id="{00000000-0008-0000-0000-000042100000}"/>
              </a:ext>
            </a:extLst>
          </xdr:cNvPr>
          <xdr:cNvGrpSpPr>
            <a:grpSpLocks/>
          </xdr:cNvGrpSpPr>
        </xdr:nvGrpSpPr>
        <xdr:grpSpPr bwMode="auto">
          <a:xfrm>
            <a:off x="867" y="423"/>
            <a:ext cx="155" cy="65"/>
            <a:chOff x="854" y="342"/>
            <a:chExt cx="155" cy="65"/>
          </a:xfrm>
        </xdr:grpSpPr>
        <xdr:sp macro="" textlink="">
          <xdr:nvSpPr>
            <xdr:cNvPr id="4164" name="AutoShape 931">
              <a:extLst>
                <a:ext uri="{FF2B5EF4-FFF2-40B4-BE49-F238E27FC236}">
                  <a16:creationId xmlns:a16="http://schemas.microsoft.com/office/drawing/2014/main" id="{00000000-0008-0000-0000-000044100000}"/>
                </a:ext>
              </a:extLst>
            </xdr:cNvPr>
            <xdr:cNvSpPr>
              <a:spLocks noChangeArrowheads="1"/>
            </xdr:cNvSpPr>
          </xdr:nvSpPr>
          <xdr:spPr bwMode="auto">
            <a:xfrm>
              <a:off x="854" y="342"/>
              <a:ext cx="155" cy="65"/>
            </a:xfrm>
            <a:prstGeom prst="roundRect">
              <a:avLst>
                <a:gd name="adj" fmla="val 14773"/>
              </a:avLst>
            </a:prstGeom>
            <a:gradFill rotWithShape="0">
              <a:gsLst>
                <a:gs pos="0">
                  <a:srgbClr val="FFCC00"/>
                </a:gs>
                <a:gs pos="100000">
                  <a:srgbClr val="8C7000"/>
                </a:gs>
              </a:gsLst>
              <a:path path="rect">
                <a:fillToRect r="100000" b="100000"/>
              </a:path>
            </a:gradFill>
            <a:ln w="9525">
              <a:round/>
              <a:headEnd/>
              <a:tailEnd/>
            </a:ln>
            <a:effectLst/>
            <a:scene3d>
              <a:camera prst="legacyPerspectiveTop">
                <a:rot lat="0" lon="20999997" rev="0"/>
              </a:camera>
              <a:lightRig rig="legacyFlat3" dir="r"/>
            </a:scene3d>
            <a:sp3d extrusionH="430200" prstMaterial="legacyMatte">
              <a:bevelT w="13500" h="13500" prst="angle"/>
              <a:bevelB w="13500" h="13500" prst="angle"/>
              <a:extrusionClr>
                <a:srgbClr val="FFCC00"/>
              </a:extrusionClr>
            </a:sp3d>
            <a:extLs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4165" name="AutoShape 932">
              <a:extLst>
                <a:ext uri="{FF2B5EF4-FFF2-40B4-BE49-F238E27FC236}">
                  <a16:creationId xmlns:a16="http://schemas.microsoft.com/office/drawing/2014/main" id="{00000000-0008-0000-0000-000045100000}"/>
                </a:ext>
              </a:extLst>
            </xdr:cNvPr>
            <xdr:cNvSpPr>
              <a:spLocks noChangeArrowheads="1"/>
            </xdr:cNvSpPr>
          </xdr:nvSpPr>
          <xdr:spPr bwMode="auto">
            <a:xfrm>
              <a:off x="938" y="382"/>
              <a:ext cx="62" cy="21"/>
            </a:xfrm>
            <a:prstGeom prst="rightArrow">
              <a:avLst>
                <a:gd name="adj1" fmla="val 50000"/>
                <a:gd name="adj2" fmla="val 73810"/>
              </a:avLst>
            </a:prstGeom>
            <a:solidFill>
              <a:srgbClr val="FFFF00"/>
            </a:solidFill>
            <a:ln w="9525">
              <a:solidFill>
                <a:srgbClr val="FF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grpSp>
      <xdr:sp macro="" textlink="">
        <xdr:nvSpPr>
          <xdr:cNvPr id="1725" name="Text Box 701">
            <a:extLst>
              <a:ext uri="{FF2B5EF4-FFF2-40B4-BE49-F238E27FC236}">
                <a16:creationId xmlns:a16="http://schemas.microsoft.com/office/drawing/2014/main" id="{00000000-0008-0000-0000-0000BD060000}"/>
              </a:ext>
            </a:extLst>
          </xdr:cNvPr>
          <xdr:cNvSpPr txBox="1">
            <a:spLocks noChangeArrowheads="1"/>
          </xdr:cNvSpPr>
        </xdr:nvSpPr>
        <xdr:spPr bwMode="auto">
          <a:xfrm>
            <a:off x="865" y="423"/>
            <a:ext cx="161" cy="6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22860" rIns="0" bIns="0" anchor="t" upright="1"/>
          <a:lstStyle/>
          <a:p>
            <a:pPr algn="l" rtl="0">
              <a:defRPr sz="1000"/>
            </a:pPr>
            <a:r>
              <a:rPr lang="es-MX" sz="1200" b="1" i="1" u="none" strike="noStrike" baseline="0">
                <a:solidFill>
                  <a:srgbClr val="0000FF"/>
                </a:solidFill>
                <a:latin typeface="Arial"/>
                <a:cs typeface="Arial"/>
              </a:rPr>
              <a:t>Ir a actualizaciòn de</a:t>
            </a:r>
          </a:p>
          <a:p>
            <a:pPr algn="l" rtl="0">
              <a:defRPr sz="1000"/>
            </a:pPr>
            <a:r>
              <a:rPr lang="es-MX" sz="1200" b="1" i="1" u="none" strike="noStrike" baseline="0">
                <a:solidFill>
                  <a:srgbClr val="0000FF"/>
                </a:solidFill>
                <a:latin typeface="Arial"/>
                <a:cs typeface="Arial"/>
              </a:rPr>
              <a:t>Salarios Mìnimos  </a:t>
            </a:r>
          </a:p>
          <a:p>
            <a:pPr algn="l" rtl="0">
              <a:defRPr sz="1000"/>
            </a:pPr>
            <a:r>
              <a:rPr lang="es-MX" sz="1200" b="1" i="1" u="none" strike="noStrike" baseline="0">
                <a:solidFill>
                  <a:srgbClr val="0000FF"/>
                </a:solidFill>
                <a:latin typeface="Arial"/>
                <a:cs typeface="Arial"/>
              </a:rPr>
              <a:t> y topes</a:t>
            </a:r>
          </a:p>
        </xdr:txBody>
      </xdr:sp>
    </xdr:grpSp>
    <xdr:clientData/>
  </xdr:twoCellAnchor>
  <xdr:twoCellAnchor>
    <xdr:from>
      <xdr:col>18</xdr:col>
      <xdr:colOff>28575</xdr:colOff>
      <xdr:row>19</xdr:row>
      <xdr:rowOff>19050</xdr:rowOff>
    </xdr:from>
    <xdr:to>
      <xdr:col>24</xdr:col>
      <xdr:colOff>47625</xdr:colOff>
      <xdr:row>23</xdr:row>
      <xdr:rowOff>85725</xdr:rowOff>
    </xdr:to>
    <xdr:grpSp>
      <xdr:nvGrpSpPr>
        <xdr:cNvPr id="4157" name="Group 945">
          <a:hlinkClick xmlns:r="http://schemas.openxmlformats.org/officeDocument/2006/relationships" r:id="rId13"/>
          <a:extLst>
            <a:ext uri="{FF2B5EF4-FFF2-40B4-BE49-F238E27FC236}">
              <a16:creationId xmlns:a16="http://schemas.microsoft.com/office/drawing/2014/main" id="{00000000-0008-0000-0000-00003D100000}"/>
            </a:ext>
          </a:extLst>
        </xdr:cNvPr>
        <xdr:cNvGrpSpPr>
          <a:grpSpLocks/>
        </xdr:cNvGrpSpPr>
      </xdr:nvGrpSpPr>
      <xdr:grpSpPr bwMode="auto">
        <a:xfrm>
          <a:off x="8780864" y="4972815"/>
          <a:ext cx="1801641" cy="655771"/>
          <a:chOff x="866" y="520"/>
          <a:chExt cx="181" cy="68"/>
        </a:xfrm>
      </xdr:grpSpPr>
      <xdr:grpSp>
        <xdr:nvGrpSpPr>
          <xdr:cNvPr id="4158" name="Group 936">
            <a:extLst>
              <a:ext uri="{FF2B5EF4-FFF2-40B4-BE49-F238E27FC236}">
                <a16:creationId xmlns:a16="http://schemas.microsoft.com/office/drawing/2014/main" id="{00000000-0008-0000-0000-00003E100000}"/>
              </a:ext>
            </a:extLst>
          </xdr:cNvPr>
          <xdr:cNvGrpSpPr>
            <a:grpSpLocks/>
          </xdr:cNvGrpSpPr>
        </xdr:nvGrpSpPr>
        <xdr:grpSpPr bwMode="auto">
          <a:xfrm>
            <a:off x="869" y="523"/>
            <a:ext cx="155" cy="65"/>
            <a:chOff x="874" y="472"/>
            <a:chExt cx="155" cy="65"/>
          </a:xfrm>
        </xdr:grpSpPr>
        <xdr:sp macro="" textlink="">
          <xdr:nvSpPr>
            <xdr:cNvPr id="4160" name="AutoShape 934">
              <a:extLst>
                <a:ext uri="{FF2B5EF4-FFF2-40B4-BE49-F238E27FC236}">
                  <a16:creationId xmlns:a16="http://schemas.microsoft.com/office/drawing/2014/main" id="{00000000-0008-0000-0000-000040100000}"/>
                </a:ext>
              </a:extLst>
            </xdr:cNvPr>
            <xdr:cNvSpPr>
              <a:spLocks noChangeArrowheads="1"/>
            </xdr:cNvSpPr>
          </xdr:nvSpPr>
          <xdr:spPr bwMode="auto">
            <a:xfrm>
              <a:off x="874" y="472"/>
              <a:ext cx="155" cy="65"/>
            </a:xfrm>
            <a:prstGeom prst="roundRect">
              <a:avLst>
                <a:gd name="adj" fmla="val 14773"/>
              </a:avLst>
            </a:prstGeom>
            <a:gradFill rotWithShape="0">
              <a:gsLst>
                <a:gs pos="0">
                  <a:srgbClr val="FFCC00"/>
                </a:gs>
                <a:gs pos="100000">
                  <a:srgbClr val="8C7000"/>
                </a:gs>
              </a:gsLst>
              <a:path path="rect">
                <a:fillToRect r="100000" b="100000"/>
              </a:path>
            </a:gradFill>
            <a:ln w="9525">
              <a:round/>
              <a:headEnd/>
              <a:tailEnd/>
            </a:ln>
            <a:effectLst/>
            <a:scene3d>
              <a:camera prst="legacyPerspectiveTop">
                <a:rot lat="0" lon="20999997" rev="0"/>
              </a:camera>
              <a:lightRig rig="legacyFlat3" dir="r"/>
            </a:scene3d>
            <a:sp3d extrusionH="430200" prstMaterial="legacyMatte">
              <a:bevelT w="13500" h="13500" prst="angle"/>
              <a:bevelB w="13500" h="13500" prst="angle"/>
              <a:extrusionClr>
                <a:srgbClr val="FFCC00"/>
              </a:extrusionClr>
            </a:sp3d>
            <a:extLs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4161" name="AutoShape 935">
              <a:extLst>
                <a:ext uri="{FF2B5EF4-FFF2-40B4-BE49-F238E27FC236}">
                  <a16:creationId xmlns:a16="http://schemas.microsoft.com/office/drawing/2014/main" id="{00000000-0008-0000-0000-000041100000}"/>
                </a:ext>
              </a:extLst>
            </xdr:cNvPr>
            <xdr:cNvSpPr>
              <a:spLocks noChangeArrowheads="1"/>
            </xdr:cNvSpPr>
          </xdr:nvSpPr>
          <xdr:spPr bwMode="auto">
            <a:xfrm>
              <a:off x="976" y="513"/>
              <a:ext cx="49" cy="21"/>
            </a:xfrm>
            <a:prstGeom prst="rightArrow">
              <a:avLst>
                <a:gd name="adj1" fmla="val 50000"/>
                <a:gd name="adj2" fmla="val 58333"/>
              </a:avLst>
            </a:prstGeom>
            <a:solidFill>
              <a:srgbClr val="FFFF00"/>
            </a:solidFill>
            <a:ln w="9525">
              <a:solidFill>
                <a:srgbClr val="FF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grpSp>
      <xdr:sp macro="" textlink="">
        <xdr:nvSpPr>
          <xdr:cNvPr id="1585" name="Text Box 561">
            <a:extLst>
              <a:ext uri="{FF2B5EF4-FFF2-40B4-BE49-F238E27FC236}">
                <a16:creationId xmlns:a16="http://schemas.microsoft.com/office/drawing/2014/main" id="{00000000-0008-0000-0000-000031060000}"/>
              </a:ext>
            </a:extLst>
          </xdr:cNvPr>
          <xdr:cNvSpPr txBox="1">
            <a:spLocks noChangeArrowheads="1"/>
          </xdr:cNvSpPr>
        </xdr:nvSpPr>
        <xdr:spPr bwMode="auto">
          <a:xfrm>
            <a:off x="866" y="520"/>
            <a:ext cx="181" cy="68"/>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22860" rIns="0" bIns="0" anchor="t" upright="1"/>
          <a:lstStyle/>
          <a:p>
            <a:pPr algn="l" rtl="0">
              <a:defRPr sz="1000"/>
            </a:pPr>
            <a:r>
              <a:rPr lang="es-MX" sz="1200" b="1" i="1" u="none" strike="noStrike" baseline="0">
                <a:solidFill>
                  <a:srgbClr val="0000FF"/>
                </a:solidFill>
                <a:latin typeface="Arial"/>
                <a:cs typeface="Arial"/>
              </a:rPr>
              <a:t>Ir a  Asignaciones Familiares y Ayudas asistenciales</a:t>
            </a:r>
          </a:p>
        </xdr:txBody>
      </xdr:sp>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noFill/>
        <a:ln>
          <a:noFill/>
        </a:ln>
        <a:effectLst/>
        <a:extLst>
          <a:ext uri="{909E8E84-426E-40DD-AFC4-6F175D3DCCD1}">
            <a14:hiddenFill xmlns:a14="http://schemas.microsoft.com/office/drawing/2010/main">
              <a:solidFill>
                <a:srgbClr xmlns:mc="http://schemas.openxmlformats.org/markup-compatibility/2006" val="090000" mc:Ignorable="a14" a14:legacySpreadsheetColorIndex="9"/>
              </a:solidFill>
            </a14:hiddenFill>
          </a:ext>
          <a:ext uri="{91240B29-F687-4F45-9708-019B960494DF}">
            <a14:hiddenLine xmlns:a14="http://schemas.microsoft.com/office/drawing/2010/main" w="9525" cap="flat" cmpd="sng" algn="ctr">
              <a:solidFill>
                <a:srgbClr xmlns:mc="http://schemas.openxmlformats.org/markup-compatibility/2006" val="400000" mc:Ignorable="a14" a14:legacySpreadsheetColorIndex="64"/>
              </a:solidFill>
              <a:prstDash val="solid"/>
              <a:round/>
              <a:headEnd type="none" w="med" len="med"/>
              <a:tailEnd type="none" w="med" len="med"/>
            </a14:hiddenLine>
          </a:ex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noFill/>
        <a:ln>
          <a:noFill/>
        </a:ln>
        <a:effectLst/>
        <a:extLst>
          <a:ext uri="{909E8E84-426E-40DD-AFC4-6F175D3DCCD1}">
            <a14:hiddenFill xmlns:a14="http://schemas.microsoft.com/office/drawing/2010/main">
              <a:solidFill>
                <a:srgbClr xmlns:mc="http://schemas.openxmlformats.org/markup-compatibility/2006" val="090000" mc:Ignorable="a14" a14:legacySpreadsheetColorIndex="9"/>
              </a:solidFill>
            </a14:hiddenFill>
          </a:ext>
          <a:ext uri="{91240B29-F687-4F45-9708-019B960494DF}">
            <a14:hiddenLine xmlns:a14="http://schemas.microsoft.com/office/drawing/2010/main" w="9525" cap="flat" cmpd="sng" algn="ctr">
              <a:solidFill>
                <a:srgbClr xmlns:mc="http://schemas.openxmlformats.org/markup-compatibility/2006" val="400000" mc:Ignorable="a14" a14:legacySpreadsheetColorIndex="64"/>
              </a:solidFill>
              <a:prstDash val="solid"/>
              <a:round/>
              <a:headEnd type="none" w="med" len="med"/>
              <a:tailEnd type="none" w="med" len="med"/>
            </a14:hiddenLine>
          </a:ex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autoPageBreaks="0"/>
  </sheetPr>
  <dimension ref="A1:IR1226"/>
  <sheetViews>
    <sheetView showGridLines="0" showRowColHeaders="0" tabSelected="1" showOutlineSymbols="0" zoomScale="83" zoomScaleNormal="83" workbookViewId="0">
      <selection activeCell="F12" sqref="F12:Q15"/>
    </sheetView>
  </sheetViews>
  <sheetFormatPr baseColWidth="10" defaultColWidth="11.453125" defaultRowHeight="13" x14ac:dyDescent="0.6"/>
  <cols>
    <col min="1" max="1" width="0.81640625" customWidth="1"/>
    <col min="2" max="2" width="10.54296875" customWidth="1"/>
    <col min="3" max="3" width="11.26953125" customWidth="1"/>
    <col min="4" max="5" width="0.81640625" customWidth="1"/>
    <col min="6" max="7" width="6.7265625" customWidth="1"/>
    <col min="8" max="8" width="8.453125" customWidth="1"/>
    <col min="9" max="9" width="10.54296875" customWidth="1"/>
    <col min="10" max="10" width="6.26953125" customWidth="1"/>
    <col min="11" max="11" width="9.1796875" customWidth="1"/>
    <col min="12" max="12" width="7.81640625" customWidth="1"/>
    <col min="13" max="13" width="8.26953125" customWidth="1"/>
    <col min="14" max="14" width="7.26953125" customWidth="1"/>
    <col min="15" max="16" width="8.81640625" customWidth="1"/>
    <col min="17" max="17" width="11.26953125" customWidth="1"/>
    <col min="18" max="18" width="0.7265625" customWidth="1"/>
    <col min="19" max="19" width="1.1796875" customWidth="1"/>
    <col min="20" max="20" width="4" customWidth="1"/>
    <col min="21" max="21" width="2.81640625" customWidth="1"/>
    <col min="22" max="22" width="3" customWidth="1"/>
    <col min="23" max="23" width="11.7265625" customWidth="1"/>
    <col min="24" max="24" width="2.81640625" customWidth="1"/>
    <col min="25" max="25" width="4" customWidth="1"/>
    <col min="26" max="37" width="2.81640625" customWidth="1"/>
    <col min="38" max="42" width="1.81640625" customWidth="1"/>
    <col min="43" max="46" width="2.81640625" customWidth="1"/>
    <col min="47" max="47" width="1.453125" customWidth="1"/>
    <col min="48" max="48" width="2.54296875" customWidth="1"/>
    <col min="49" max="49" width="4.81640625" customWidth="1"/>
    <col min="50" max="50" width="2.54296875" customWidth="1"/>
    <col min="51" max="51" width="0.7265625" customWidth="1"/>
    <col min="52" max="53" width="9.54296875" style="1" customWidth="1"/>
    <col min="54" max="54" width="11.81640625" style="1" customWidth="1"/>
    <col min="55" max="55" width="12.81640625" style="1" customWidth="1"/>
    <col min="56" max="56" width="2.26953125" customWidth="1"/>
    <col min="57" max="57" width="8.26953125" customWidth="1"/>
    <col min="58" max="58" width="7.54296875" customWidth="1"/>
    <col min="59" max="59" width="1.54296875" customWidth="1"/>
    <col min="60" max="61" width="12.1796875" style="1" customWidth="1"/>
    <col min="62" max="62" width="5" style="1" customWidth="1"/>
    <col min="63" max="63" width="7.54296875" style="1" customWidth="1"/>
    <col min="64" max="64" width="10.81640625" customWidth="1"/>
    <col min="65" max="65" width="8.1796875" style="1" customWidth="1"/>
    <col min="66" max="66" width="8.1796875" style="28" customWidth="1"/>
    <col min="67" max="67" width="12.7265625" customWidth="1"/>
    <col min="68" max="68" width="6.7265625" customWidth="1"/>
    <col min="69" max="69" width="0" hidden="1" customWidth="1"/>
    <col min="70" max="74" width="11.453125" customWidth="1"/>
    <col min="75" max="76" width="11.453125" style="58" hidden="1" customWidth="1"/>
  </cols>
  <sheetData>
    <row r="1" spans="1:252" ht="5.25" customHeight="1" thickBot="1" x14ac:dyDescent="0.75">
      <c r="A1" s="2">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18"/>
      <c r="BA1" s="18"/>
      <c r="BB1" s="18"/>
      <c r="BC1" s="18"/>
      <c r="BD1" s="2"/>
      <c r="BE1" s="2"/>
      <c r="BF1" s="2"/>
      <c r="BG1" s="2"/>
      <c r="BH1" s="18"/>
      <c r="BI1" s="18"/>
      <c r="BJ1" s="18"/>
      <c r="BK1" s="18"/>
      <c r="BL1" s="2"/>
      <c r="BM1" s="18"/>
      <c r="BN1" s="29"/>
      <c r="BO1" s="2"/>
      <c r="BP1" s="2"/>
      <c r="BQ1" s="2"/>
      <c r="BR1" s="2"/>
      <c r="BS1" s="2"/>
      <c r="BT1" s="2"/>
      <c r="BU1" s="2"/>
      <c r="BV1" s="2"/>
      <c r="BW1" s="57"/>
      <c r="BX1" s="57"/>
    </row>
    <row r="2" spans="1:252" ht="24" customHeight="1" x14ac:dyDescent="0.6">
      <c r="A2" s="2"/>
      <c r="B2" s="2"/>
      <c r="C2" s="2"/>
      <c r="D2" s="2"/>
      <c r="E2" s="2"/>
      <c r="F2" s="175" t="s">
        <v>110</v>
      </c>
      <c r="G2" s="176"/>
      <c r="H2" s="176"/>
      <c r="I2" s="176"/>
      <c r="J2" s="176"/>
      <c r="K2" s="176"/>
      <c r="L2" s="176"/>
      <c r="M2" s="176"/>
      <c r="N2" s="176"/>
      <c r="O2" s="176"/>
      <c r="P2" s="176"/>
      <c r="Q2" s="177"/>
      <c r="R2" s="192"/>
      <c r="S2" s="193"/>
      <c r="T2" s="2"/>
      <c r="U2" s="2"/>
      <c r="V2" s="2"/>
      <c r="W2" s="2"/>
      <c r="X2" s="2"/>
      <c r="Y2" s="114"/>
      <c r="Z2" s="114"/>
      <c r="AA2" s="114"/>
      <c r="AB2" s="2"/>
      <c r="AC2" s="2"/>
      <c r="AD2" s="2"/>
      <c r="AE2" s="2"/>
      <c r="AF2" s="2"/>
      <c r="AG2" s="2"/>
      <c r="AH2" s="2"/>
      <c r="AI2" s="2"/>
      <c r="AJ2" s="2"/>
      <c r="AK2" s="2"/>
      <c r="AL2" s="2"/>
      <c r="AM2" s="2"/>
      <c r="AN2" s="2"/>
      <c r="AO2" s="2"/>
      <c r="AP2" s="2"/>
      <c r="AQ2" s="2"/>
      <c r="AR2" s="2"/>
      <c r="AS2" s="2"/>
      <c r="AT2" s="2"/>
      <c r="AU2" s="2"/>
      <c r="AV2" s="2"/>
      <c r="AW2" s="2"/>
      <c r="AX2" s="2"/>
      <c r="AY2" s="2"/>
      <c r="AZ2" s="18"/>
      <c r="BA2" s="18"/>
      <c r="BB2" s="18"/>
      <c r="BC2" s="27"/>
      <c r="BD2" s="2"/>
      <c r="BE2" s="2"/>
      <c r="BF2" s="31"/>
      <c r="BG2" s="2"/>
      <c r="BH2" s="32"/>
      <c r="BI2" s="18"/>
      <c r="BJ2" s="18"/>
      <c r="BK2" s="32"/>
      <c r="BL2" s="32"/>
      <c r="BM2" s="32"/>
      <c r="BN2" s="32"/>
      <c r="BO2" s="32"/>
      <c r="BP2" s="2"/>
      <c r="BQ2" s="2"/>
      <c r="BR2" s="2"/>
      <c r="BS2" s="2"/>
      <c r="BT2" s="2"/>
      <c r="BU2" s="2"/>
      <c r="BV2" s="2"/>
      <c r="BW2" s="57"/>
      <c r="BX2" s="57"/>
      <c r="IO2" s="174" t="s">
        <v>35</v>
      </c>
      <c r="IP2" s="174"/>
      <c r="IQ2" s="174"/>
      <c r="IR2" s="174"/>
    </row>
    <row r="3" spans="1:252" ht="25.9" customHeight="1" thickBot="1" x14ac:dyDescent="0.75">
      <c r="A3" s="2"/>
      <c r="B3" s="2"/>
      <c r="C3" s="2"/>
      <c r="D3" s="2"/>
      <c r="E3" s="2"/>
      <c r="F3" s="178" t="s">
        <v>25</v>
      </c>
      <c r="G3" s="179"/>
      <c r="H3" s="179"/>
      <c r="I3" s="179"/>
      <c r="J3" s="179"/>
      <c r="K3" s="179"/>
      <c r="L3" s="179"/>
      <c r="M3" s="179"/>
      <c r="N3" s="179"/>
      <c r="O3" s="179"/>
      <c r="P3" s="179"/>
      <c r="Q3" s="180"/>
      <c r="R3" s="194"/>
      <c r="S3" s="195"/>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18"/>
      <c r="BA3" s="18"/>
      <c r="BB3" s="18"/>
      <c r="BC3" s="146"/>
      <c r="BD3" s="146"/>
      <c r="BE3" s="146"/>
      <c r="BF3" s="146"/>
      <c r="BG3" s="146"/>
      <c r="BH3" s="146"/>
      <c r="BI3" s="146"/>
      <c r="BJ3" s="18"/>
      <c r="BK3" s="27"/>
      <c r="BL3" s="32"/>
      <c r="BM3" s="32"/>
      <c r="BN3" s="33"/>
      <c r="BO3" s="2"/>
      <c r="BP3" s="2"/>
      <c r="BQ3" s="2"/>
      <c r="BR3" s="2"/>
      <c r="BS3" s="2"/>
      <c r="BT3" s="2"/>
      <c r="BU3" s="2"/>
      <c r="BV3" s="2"/>
      <c r="BW3" s="57"/>
      <c r="BX3" s="57"/>
      <c r="IO3" s="174"/>
      <c r="IP3" s="174"/>
      <c r="IQ3" s="174"/>
      <c r="IR3" s="174"/>
    </row>
    <row r="4" spans="1:252" ht="5.25" customHeight="1" thickBot="1" x14ac:dyDescent="0.85">
      <c r="A4" s="2"/>
      <c r="B4" s="2"/>
      <c r="C4" s="2"/>
      <c r="D4" s="2"/>
      <c r="E4" s="2"/>
      <c r="F4" s="2"/>
      <c r="G4" s="2"/>
      <c r="H4" s="2"/>
      <c r="I4" s="2">
        <v>0</v>
      </c>
      <c r="J4" s="2"/>
      <c r="K4" s="2"/>
      <c r="L4" s="55"/>
      <c r="M4" s="50"/>
      <c r="N4" s="56"/>
      <c r="O4" s="50"/>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18"/>
      <c r="BA4" s="18"/>
      <c r="BB4" s="18"/>
      <c r="BC4" s="18"/>
      <c r="BD4" s="2"/>
      <c r="BE4" s="2"/>
      <c r="BF4" s="2"/>
      <c r="BG4" s="2"/>
      <c r="BH4" s="18"/>
      <c r="BI4" s="18"/>
      <c r="BJ4" s="18"/>
      <c r="BK4" s="18"/>
      <c r="BL4" s="2"/>
      <c r="BM4" s="18"/>
      <c r="BN4" s="29"/>
      <c r="BO4" s="2"/>
      <c r="BP4" s="2"/>
      <c r="BQ4" s="2"/>
      <c r="BR4" s="2"/>
      <c r="BS4" s="2"/>
      <c r="BT4" s="2"/>
      <c r="BU4" s="2"/>
      <c r="BV4" s="2"/>
      <c r="BW4" s="57"/>
      <c r="BX4" s="57"/>
      <c r="IO4" s="174"/>
      <c r="IP4" s="174"/>
      <c r="IQ4" s="174"/>
      <c r="IR4" s="174"/>
    </row>
    <row r="5" spans="1:252" ht="12" hidden="1" customHeight="1" x14ac:dyDescent="0.7">
      <c r="A5" s="2"/>
      <c r="B5" s="2"/>
      <c r="C5" s="2"/>
      <c r="D5" s="2"/>
      <c r="E5" s="2"/>
      <c r="L5" s="42"/>
      <c r="M5" s="43"/>
      <c r="N5" s="44"/>
      <c r="O5" s="43"/>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18"/>
      <c r="BA5" s="18"/>
      <c r="BB5" s="18"/>
      <c r="BC5" s="18"/>
      <c r="BD5" s="2"/>
      <c r="BE5" s="2"/>
      <c r="BF5" s="2"/>
      <c r="BG5" s="2"/>
      <c r="BH5" s="18"/>
      <c r="BI5" s="18"/>
      <c r="BJ5" s="18"/>
      <c r="BK5" s="18"/>
      <c r="BL5" s="2"/>
      <c r="BM5" s="18"/>
      <c r="BN5" s="29"/>
      <c r="BO5" s="2"/>
      <c r="BP5" s="2"/>
      <c r="BQ5" s="2"/>
      <c r="BR5" s="2"/>
      <c r="BS5" s="2"/>
      <c r="BT5" s="2"/>
      <c r="BU5" s="2"/>
      <c r="BV5" s="2"/>
      <c r="BW5" s="57"/>
      <c r="BX5" s="57"/>
      <c r="IO5" s="174"/>
      <c r="IP5" s="174"/>
      <c r="IQ5" s="174"/>
      <c r="IR5" s="174"/>
    </row>
    <row r="6" spans="1:252" ht="12.75" hidden="1" customHeight="1" x14ac:dyDescent="0.7">
      <c r="A6" s="2"/>
      <c r="B6" s="2"/>
      <c r="C6" s="2"/>
      <c r="D6" s="2"/>
      <c r="E6" s="2"/>
      <c r="L6" s="42"/>
      <c r="M6" s="43"/>
      <c r="N6" s="44"/>
      <c r="O6" s="43"/>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18"/>
      <c r="BA6" s="18"/>
      <c r="BB6" s="18"/>
      <c r="BC6" s="18"/>
      <c r="BD6" s="2"/>
      <c r="BE6" s="2"/>
      <c r="BF6" s="2"/>
      <c r="BG6" s="2"/>
      <c r="BH6" s="18"/>
      <c r="BI6" s="18"/>
      <c r="BJ6" s="18"/>
      <c r="BK6" s="18"/>
      <c r="BL6" s="2"/>
      <c r="BM6" s="18"/>
      <c r="BN6" s="29"/>
      <c r="BO6" s="2"/>
      <c r="BP6" s="2"/>
      <c r="BQ6" s="2"/>
      <c r="BR6" s="2"/>
      <c r="BS6" s="2"/>
      <c r="BT6" s="2"/>
      <c r="BU6" s="2"/>
      <c r="BV6" s="2"/>
      <c r="BW6" s="57"/>
      <c r="BX6" s="57"/>
      <c r="IO6" s="174"/>
      <c r="IP6" s="174"/>
      <c r="IQ6" s="174"/>
      <c r="IR6" s="174"/>
    </row>
    <row r="7" spans="1:252" ht="15" customHeight="1" thickTop="1" thickBot="1" x14ac:dyDescent="0.75">
      <c r="A7" s="2"/>
      <c r="B7" s="2"/>
      <c r="C7" s="2"/>
      <c r="D7" s="2"/>
      <c r="E7" s="2"/>
      <c r="F7" s="181" t="s">
        <v>49</v>
      </c>
      <c r="G7" s="182"/>
      <c r="H7" s="185" t="s">
        <v>10</v>
      </c>
      <c r="I7" s="182" t="s">
        <v>13</v>
      </c>
      <c r="J7" s="190" t="s">
        <v>9</v>
      </c>
      <c r="K7" s="205" t="s">
        <v>26</v>
      </c>
      <c r="L7" s="207" t="s">
        <v>36</v>
      </c>
      <c r="M7" s="208"/>
      <c r="N7" s="209"/>
      <c r="O7" s="187" t="s">
        <v>37</v>
      </c>
      <c r="P7" s="188"/>
      <c r="Q7" s="189"/>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18"/>
      <c r="BA7" s="18"/>
      <c r="BB7" s="18"/>
      <c r="BC7" s="18"/>
      <c r="BD7" s="2"/>
      <c r="BE7" s="2"/>
      <c r="BF7" s="2"/>
      <c r="BG7" s="2"/>
      <c r="BH7" s="18"/>
      <c r="BI7" s="18"/>
      <c r="BJ7" s="18"/>
      <c r="BK7" s="18"/>
      <c r="BL7" s="2"/>
      <c r="BM7" s="18"/>
      <c r="BN7" s="29"/>
      <c r="BO7" s="2"/>
      <c r="BP7" s="2"/>
      <c r="BQ7" s="2"/>
      <c r="BR7" s="2"/>
      <c r="BS7" s="2"/>
      <c r="BT7" s="2"/>
      <c r="BU7" s="2"/>
      <c r="BV7" s="2"/>
      <c r="BW7" s="57"/>
      <c r="BX7" s="57"/>
      <c r="IO7" s="174"/>
      <c r="IP7" s="174"/>
      <c r="IQ7" s="174"/>
      <c r="IR7" s="174"/>
    </row>
    <row r="8" spans="1:252" ht="175.5" customHeight="1" thickTop="1" thickBot="1" x14ac:dyDescent="0.75">
      <c r="A8" s="2"/>
      <c r="B8" s="2"/>
      <c r="C8" s="2"/>
      <c r="D8" s="2"/>
      <c r="E8" s="2"/>
      <c r="F8" s="183"/>
      <c r="G8" s="184"/>
      <c r="H8" s="186"/>
      <c r="I8" s="184"/>
      <c r="J8" s="191"/>
      <c r="K8" s="206"/>
      <c r="L8" s="59" t="s">
        <v>24</v>
      </c>
      <c r="M8" s="52" t="s">
        <v>27</v>
      </c>
      <c r="N8" s="60" t="s">
        <v>23</v>
      </c>
      <c r="O8" s="59" t="s">
        <v>47</v>
      </c>
      <c r="P8" s="60" t="s">
        <v>48</v>
      </c>
      <c r="Q8" s="61" t="s">
        <v>50</v>
      </c>
      <c r="R8" s="3"/>
      <c r="S8" s="3"/>
      <c r="T8" s="3"/>
      <c r="U8" s="3"/>
      <c r="V8" s="3"/>
      <c r="W8" s="3"/>
      <c r="X8" s="3"/>
      <c r="Y8" s="3"/>
      <c r="Z8" s="3"/>
      <c r="AA8" s="38"/>
      <c r="AB8" s="3" t="s">
        <v>2</v>
      </c>
      <c r="AC8" s="3"/>
      <c r="AD8" s="3"/>
      <c r="AE8" s="3"/>
      <c r="AF8" s="3"/>
      <c r="AG8" s="3"/>
      <c r="AH8" s="3"/>
      <c r="AI8" s="3"/>
      <c r="AJ8" s="3"/>
      <c r="AK8" s="3"/>
      <c r="AL8" s="3"/>
      <c r="AM8" s="3"/>
      <c r="AN8" s="3"/>
      <c r="AO8" s="3"/>
      <c r="AP8" s="3"/>
      <c r="AQ8" s="3"/>
      <c r="AR8" s="3"/>
      <c r="AS8" s="3"/>
      <c r="AT8" s="3"/>
      <c r="AU8" s="3"/>
      <c r="AV8" s="3"/>
      <c r="AW8" s="3"/>
      <c r="AX8" s="3"/>
      <c r="AY8" s="3"/>
      <c r="AZ8" s="18"/>
      <c r="BA8" s="19"/>
      <c r="BB8" s="18"/>
      <c r="BC8" s="18"/>
      <c r="BD8" s="2"/>
      <c r="BE8" s="2"/>
      <c r="BF8" s="2"/>
      <c r="BG8" s="2"/>
      <c r="BH8" s="18"/>
      <c r="BI8" s="18"/>
      <c r="BJ8" s="18"/>
      <c r="BK8" s="18"/>
      <c r="BL8" s="2"/>
      <c r="BM8" s="18"/>
      <c r="BN8" s="30"/>
      <c r="BO8" s="21"/>
      <c r="BP8" s="2"/>
      <c r="BQ8" s="2"/>
      <c r="BR8" s="2"/>
      <c r="BS8" s="2"/>
      <c r="BT8" s="2"/>
      <c r="BU8" s="2"/>
      <c r="BV8" s="2"/>
      <c r="BW8" s="57"/>
      <c r="BX8" s="57"/>
    </row>
    <row r="9" spans="1:252" ht="23.5" customHeight="1" thickTop="1" thickBot="1" x14ac:dyDescent="0.75">
      <c r="A9" s="2"/>
      <c r="B9" s="2"/>
      <c r="C9" s="2"/>
      <c r="D9" s="2"/>
      <c r="E9" s="2"/>
      <c r="F9" s="200">
        <v>46041</v>
      </c>
      <c r="G9" s="201"/>
      <c r="H9" s="39">
        <v>1135</v>
      </c>
      <c r="I9" s="40">
        <v>2100.6799999999998</v>
      </c>
      <c r="J9" s="41">
        <v>61</v>
      </c>
      <c r="K9" s="51">
        <f>IF(F9="","",SUM(BP12:BP116))</f>
        <v>117.6656</v>
      </c>
      <c r="L9" s="53" t="s">
        <v>111</v>
      </c>
      <c r="M9" s="82">
        <v>0</v>
      </c>
      <c r="N9" s="54"/>
      <c r="O9" s="83" t="str">
        <f>BW12&amp;"%"</f>
        <v>15%</v>
      </c>
      <c r="P9" s="49">
        <f>IF(AND(F9&gt;0,H9&gt;0,I9&gt;0,J9&gt;0)=TRUE,IF(AND(OR(L9="no",L9=""),M9=0,N9=0)=TRUE,0.15,0)+IF(AND(OR(L9="no",L9=""),M9=0,N9=1)=TRUE,0.1,0),0%)</f>
        <v>0</v>
      </c>
      <c r="Q9" s="62" t="str">
        <f>IF(F9="","0%",IF(F9&gt;=DATE(2004,1,5),"11%","0%"))</f>
        <v>11%</v>
      </c>
      <c r="R9" s="4"/>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17"/>
      <c r="AZ9" s="151" t="s">
        <v>28</v>
      </c>
      <c r="BA9" s="152"/>
      <c r="BB9" s="149" t="s">
        <v>29</v>
      </c>
      <c r="BC9" s="149" t="s">
        <v>12</v>
      </c>
      <c r="BD9" s="2"/>
      <c r="BE9" s="15" t="s">
        <v>11</v>
      </c>
      <c r="BF9" s="15" t="s">
        <v>30</v>
      </c>
      <c r="BG9" s="2"/>
      <c r="BH9" s="203" t="s">
        <v>31</v>
      </c>
      <c r="BI9" s="203"/>
      <c r="BJ9" s="203"/>
      <c r="BK9" s="203"/>
      <c r="BL9" s="203"/>
      <c r="BM9" s="196" t="s">
        <v>51</v>
      </c>
      <c r="BN9" s="196" t="s">
        <v>52</v>
      </c>
      <c r="BO9" s="198" t="s">
        <v>53</v>
      </c>
      <c r="BP9" s="2"/>
      <c r="BQ9" s="2"/>
      <c r="BR9" s="2"/>
      <c r="BS9" s="2"/>
      <c r="BT9" s="2"/>
      <c r="BU9" s="2"/>
      <c r="BV9" s="2"/>
      <c r="BW9" s="57"/>
      <c r="BX9" s="57"/>
    </row>
    <row r="10" spans="1:252" ht="9.75" customHeight="1" thickTop="1" thickBot="1" x14ac:dyDescent="0.75">
      <c r="A10" s="2"/>
      <c r="B10" s="2"/>
      <c r="C10" s="25"/>
      <c r="D10" s="2"/>
      <c r="E10" s="2"/>
      <c r="F10" s="2"/>
      <c r="G10" s="2"/>
      <c r="H10" s="5">
        <v>0</v>
      </c>
      <c r="I10" s="2"/>
      <c r="J10" s="2"/>
      <c r="K10" s="2"/>
      <c r="L10" s="2"/>
      <c r="M10" s="2"/>
      <c r="N10" s="2" t="s">
        <v>22</v>
      </c>
      <c r="O10" s="2"/>
      <c r="P10" s="2">
        <v>14</v>
      </c>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4" t="s">
        <v>0</v>
      </c>
      <c r="BA10" s="24" t="s">
        <v>1</v>
      </c>
      <c r="BB10" s="150"/>
      <c r="BC10" s="202"/>
      <c r="BD10" s="22" t="s">
        <v>2</v>
      </c>
      <c r="BE10" s="16">
        <v>60</v>
      </c>
      <c r="BF10" s="16">
        <v>75</v>
      </c>
      <c r="BG10" s="2"/>
      <c r="BH10" s="135" t="s">
        <v>3</v>
      </c>
      <c r="BI10" s="135" t="s">
        <v>4</v>
      </c>
      <c r="BJ10" s="135" t="s">
        <v>6</v>
      </c>
      <c r="BK10" s="135" t="s">
        <v>5</v>
      </c>
      <c r="BL10" s="36" t="s">
        <v>7</v>
      </c>
      <c r="BM10" s="197"/>
      <c r="BN10" s="197"/>
      <c r="BO10" s="198"/>
      <c r="BP10" s="2"/>
      <c r="BQ10" s="2"/>
      <c r="BR10" s="2"/>
      <c r="BS10" s="2"/>
      <c r="BT10" s="2"/>
      <c r="BU10" s="2"/>
      <c r="BV10" s="2"/>
      <c r="BW10" s="57"/>
      <c r="BX10" s="57"/>
    </row>
    <row r="11" spans="1:252" ht="12" customHeight="1" thickTop="1" thickBot="1" x14ac:dyDescent="0.75">
      <c r="A11" s="2"/>
      <c r="B11" s="156" t="s">
        <v>32</v>
      </c>
      <c r="C11" s="157"/>
      <c r="D11" s="2"/>
      <c r="E11" s="2"/>
      <c r="F11" s="164" t="s">
        <v>8</v>
      </c>
      <c r="G11" s="165"/>
      <c r="H11" s="165"/>
      <c r="I11" s="165"/>
      <c r="J11" s="165"/>
      <c r="K11" s="165"/>
      <c r="L11" s="165"/>
      <c r="M11" s="165"/>
      <c r="N11" s="165"/>
      <c r="O11" s="165"/>
      <c r="P11" s="165"/>
      <c r="Q11" s="16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46">
        <v>0</v>
      </c>
      <c r="BA11" s="47">
        <v>1</v>
      </c>
      <c r="BB11" s="47">
        <v>80</v>
      </c>
      <c r="BC11" s="46">
        <v>0.56299999999999994</v>
      </c>
      <c r="BD11" s="23">
        <f>IF(AND(($I$9/$K$9)&gt;=AZ11,($I$9/$K$9)&lt;=BA11),1,0)</f>
        <v>0</v>
      </c>
      <c r="BE11" s="16">
        <v>61</v>
      </c>
      <c r="BF11" s="16">
        <v>80</v>
      </c>
      <c r="BG11" s="2"/>
      <c r="BH11" s="135"/>
      <c r="BI11" s="135"/>
      <c r="BJ11" s="135"/>
      <c r="BK11" s="135"/>
      <c r="BL11" s="35" t="s">
        <v>33</v>
      </c>
      <c r="BM11" s="197"/>
      <c r="BN11" s="197"/>
      <c r="BO11" s="199"/>
      <c r="BP11" s="73"/>
      <c r="BQ11" s="2"/>
      <c r="BR11" s="2"/>
      <c r="BS11" s="2"/>
      <c r="BT11" s="2"/>
      <c r="BU11" s="2"/>
      <c r="BV11" s="2"/>
      <c r="BW11" s="81"/>
      <c r="BX11" s="81"/>
    </row>
    <row r="12" spans="1:252" ht="11.5" customHeight="1" thickTop="1" thickBot="1" x14ac:dyDescent="0.75">
      <c r="A12" s="2"/>
      <c r="B12" s="158"/>
      <c r="C12" s="159"/>
      <c r="D12" s="2"/>
      <c r="E12" s="8"/>
      <c r="F12" s="167">
        <f>IF(AND(F9&gt;0,H9&gt;0,I9&gt;0,J9&gt;0)=TRUE,((((I9*365*(SUMIF(BD11:BD33,1,BB11:BB33)/100))+(I9*SUMIF(BD11:BD33,1,BC11:BC33)/100*365*((INT((H9-500)/52))+(IF(AND(((((H9-500)/52)-INT((H9-500)/52))*52)&gt;=0,((((H9-500)/52)-INT((H9-500)/52))*52)&lt;13)=TRUE,0,IF(AND(((((H9-500)/52)-INT((H9-500)/52))*52)&gt;=13,((((H9-500)/52)-INT((H9-500)/52))*52)&lt;=26)=TRUE,0.5,IF(AND(((((H9-500)/52)-INT((H9-500)/52))*52)&gt;26,((((H9-500)/52)-INT((H9-500)/52))*52)&lt;52)=TRUE,1)))))))*(SUMIF(BE10:BE50,J9,BF10:BF50)/100/12*(1+Q9)*(1+P9)*(1+O9)))),0)</f>
        <v>27666.115251680003</v>
      </c>
      <c r="G12" s="168"/>
      <c r="H12" s="169"/>
      <c r="I12" s="169"/>
      <c r="J12" s="169"/>
      <c r="K12" s="169"/>
      <c r="L12" s="169"/>
      <c r="M12" s="169"/>
      <c r="N12" s="169"/>
      <c r="O12" s="170"/>
      <c r="P12" s="170"/>
      <c r="Q12" s="171"/>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10">
        <v>1.01</v>
      </c>
      <c r="BA12" s="10">
        <v>1.25</v>
      </c>
      <c r="BB12" s="10">
        <v>77.11</v>
      </c>
      <c r="BC12" s="10">
        <v>0.81399999999999995</v>
      </c>
      <c r="BD12" s="23">
        <f t="shared" ref="BD12:BD31" si="0">IF(AND(($I$9/$K$9)&gt;=AZ12,($I$9/$K$9)&lt;=BA12),1,0)</f>
        <v>0</v>
      </c>
      <c r="BE12" s="16">
        <v>62</v>
      </c>
      <c r="BF12" s="16">
        <v>85</v>
      </c>
      <c r="BG12" s="2"/>
      <c r="BH12" s="63">
        <v>25569</v>
      </c>
      <c r="BI12" s="63">
        <v>25933</v>
      </c>
      <c r="BJ12" s="64">
        <v>10</v>
      </c>
      <c r="BK12" s="87">
        <v>3.2000000000000001E-2</v>
      </c>
      <c r="BL12" s="86">
        <f>BK12*BJ12</f>
        <v>0.32</v>
      </c>
      <c r="BM12" s="76">
        <f>IF(AND(BH12&gt;=DATE(YEAR($F$9),MONTH($F$9),DAY($F$9))-1750,BI12&lt;=$F$9)=TRUE,DATE(YEAR(BI12),MONTH(BI12),DAY(BI12))-DATE(YEAR(BH12),MONTH(BH12),DAY(BH12))+1,IF(AND(BH12&lt;DATE(YEAR($F$9),MONTH($F$9),DAY($F$9))-1748,BI12&gt;DATE(YEAR($F$9),MONTH($F$9),DAY($F$9))-1748)=TRUE,DATE(YEAR(BI12),MONTH(BI12),DAY(BI12))-DATE(YEAR(DATE(YEAR($F$9),MONTH($F$9),DAY($F$9))-1748),MONTH(DATE(YEAR($F$9),MONTH($F$9),DAY($F$9))-1748),DAY(DATE(YEAR($F$9),MONTH($F$9),DAY($F$9))-1748))+1,IF(AND(BI12&gt;$F$9,BH12&lt;$F$9)=TRUE,DATE(YEAR($F$9),MONTH($F$9),DAY($F$9))-DATE(YEAR(BH12),MONTH(BH12),DAY(BH12))+1,0)))</f>
        <v>0</v>
      </c>
      <c r="BN12" s="77">
        <f>BM12/7</f>
        <v>0</v>
      </c>
      <c r="BO12" s="78">
        <f>BM12*BL12/7</f>
        <v>0</v>
      </c>
      <c r="BP12" s="99" t="str">
        <f>IF(AND($F$9&gt;=BH12,$F$9&lt;=BI12)=TRUE,BK12,"")</f>
        <v/>
      </c>
      <c r="BQ12" s="70">
        <f t="shared" ref="BQ12:BQ48" si="1">BQ13*1.04</f>
        <v>233.89132411645204</v>
      </c>
      <c r="BR12" s="34"/>
      <c r="BS12" s="34"/>
      <c r="BT12" s="2"/>
      <c r="BU12" s="2"/>
      <c r="BV12" s="2"/>
      <c r="BW12" s="80">
        <f>SUMIF(BW13:BW73,BX12,BX13:BX73)</f>
        <v>15</v>
      </c>
      <c r="BX12" s="80" t="str">
        <f>IF(OR(L9="",L9="no")=TRUE,0,IF(L9="si",1,0))&amp;IF(OR(M9="",M9="no")=TRUE,0,M9)&amp;IF(OR(N9="",N9="no")=TRUE,0,N9)</f>
        <v>100</v>
      </c>
    </row>
    <row r="13" spans="1:252" ht="11.5" customHeight="1" thickTop="1" thickBot="1" x14ac:dyDescent="0.75">
      <c r="A13" s="2"/>
      <c r="B13" s="158"/>
      <c r="C13" s="159"/>
      <c r="D13" s="2"/>
      <c r="E13" s="2"/>
      <c r="F13" s="167"/>
      <c r="G13" s="168"/>
      <c r="H13" s="169"/>
      <c r="I13" s="169"/>
      <c r="J13" s="169"/>
      <c r="K13" s="169"/>
      <c r="L13" s="169"/>
      <c r="M13" s="169"/>
      <c r="N13" s="169"/>
      <c r="O13" s="170"/>
      <c r="P13" s="170"/>
      <c r="Q13" s="171"/>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11">
        <v>1.26</v>
      </c>
      <c r="BA13" s="11">
        <f>AZ14-0.01</f>
        <v>1.5</v>
      </c>
      <c r="BB13" s="10">
        <v>58.18</v>
      </c>
      <c r="BC13" s="10">
        <v>1.1779999999999999</v>
      </c>
      <c r="BD13" s="23">
        <f t="shared" si="0"/>
        <v>0</v>
      </c>
      <c r="BE13" s="16">
        <v>63</v>
      </c>
      <c r="BF13" s="16">
        <v>90</v>
      </c>
      <c r="BG13" s="2"/>
      <c r="BH13" s="63">
        <v>25934</v>
      </c>
      <c r="BI13" s="63">
        <v>26298</v>
      </c>
      <c r="BJ13" s="64">
        <v>10</v>
      </c>
      <c r="BK13" s="87">
        <v>3.2000000000000001E-2</v>
      </c>
      <c r="BL13" s="86">
        <f t="shared" ref="BL13:BL77" si="2">BK13*BJ13</f>
        <v>0.32</v>
      </c>
      <c r="BM13" s="76">
        <f t="shared" ref="BM13:BM77" si="3">IF(AND(BH13&gt;=DATE(YEAR($F$9),MONTH($F$9),DAY($F$9))-1750,BI13&lt;=$F$9)=TRUE,DATE(YEAR(BI13),MONTH(BI13),DAY(BI13))-DATE(YEAR(BH13),MONTH(BH13),DAY(BH13))+1,IF(AND(BH13&lt;DATE(YEAR($F$9),MONTH($F$9),DAY($F$9))-1748,BI13&gt;DATE(YEAR($F$9),MONTH($F$9),DAY($F$9))-1748)=TRUE,DATE(YEAR(BI13),MONTH(BI13),DAY(BI13))-DATE(YEAR(DATE(YEAR($F$9),MONTH($F$9),DAY($F$9))-1748),MONTH(DATE(YEAR($F$9),MONTH($F$9),DAY($F$9))-1748),DAY(DATE(YEAR($F$9),MONTH($F$9),DAY($F$9))-1748))+1,IF(AND(BI13&gt;$F$9,BH13&lt;$F$9)=TRUE,DATE(YEAR($F$9),MONTH($F$9),DAY($F$9))-DATE(YEAR(BH13),MONTH(BH13),DAY(BH13))+1,0)))</f>
        <v>0</v>
      </c>
      <c r="BN13" s="77">
        <f t="shared" ref="BN13:BN77" si="4">BM13/7</f>
        <v>0</v>
      </c>
      <c r="BO13" s="78">
        <f t="shared" ref="BO13:BO77" si="5">BM13*BL13/7</f>
        <v>0</v>
      </c>
      <c r="BP13" s="99" t="str">
        <f t="shared" ref="BP13:BP77" si="6">IF(AND($F$9&gt;=BH13,$F$9&lt;=BI13)=TRUE,BK13,"")</f>
        <v/>
      </c>
      <c r="BQ13" s="70">
        <f t="shared" si="1"/>
        <v>224.89550395812697</v>
      </c>
      <c r="BR13" s="2"/>
      <c r="BS13" s="2"/>
      <c r="BT13" s="2"/>
      <c r="BU13" s="2"/>
      <c r="BV13" s="2"/>
      <c r="BW13" s="79" t="s">
        <v>38</v>
      </c>
      <c r="BX13" s="16">
        <v>0</v>
      </c>
    </row>
    <row r="14" spans="1:252" ht="11.5" customHeight="1" thickTop="1" thickBot="1" x14ac:dyDescent="0.75">
      <c r="A14" s="2"/>
      <c r="B14" s="160"/>
      <c r="C14" s="161"/>
      <c r="D14" s="2"/>
      <c r="E14" s="2"/>
      <c r="F14" s="167"/>
      <c r="G14" s="168"/>
      <c r="H14" s="169"/>
      <c r="I14" s="169"/>
      <c r="J14" s="169"/>
      <c r="K14" s="169"/>
      <c r="L14" s="169"/>
      <c r="M14" s="169"/>
      <c r="N14" s="169"/>
      <c r="O14" s="170"/>
      <c r="P14" s="170"/>
      <c r="Q14" s="171"/>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11">
        <v>1.51</v>
      </c>
      <c r="BA14" s="11">
        <f>AZ15-0.01</f>
        <v>1.75</v>
      </c>
      <c r="BB14" s="10">
        <v>49.23</v>
      </c>
      <c r="BC14" s="10">
        <v>1.43</v>
      </c>
      <c r="BD14" s="23">
        <f t="shared" si="0"/>
        <v>0</v>
      </c>
      <c r="BE14" s="16">
        <v>64</v>
      </c>
      <c r="BF14" s="16">
        <v>95</v>
      </c>
      <c r="BG14" s="2"/>
      <c r="BH14" s="63">
        <v>26299</v>
      </c>
      <c r="BI14" s="63">
        <v>26664</v>
      </c>
      <c r="BJ14" s="64">
        <v>10</v>
      </c>
      <c r="BK14" s="87">
        <v>3.7999999999999999E-2</v>
      </c>
      <c r="BL14" s="86">
        <f t="shared" si="2"/>
        <v>0.38</v>
      </c>
      <c r="BM14" s="76">
        <f t="shared" si="3"/>
        <v>0</v>
      </c>
      <c r="BN14" s="77">
        <f t="shared" si="4"/>
        <v>0</v>
      </c>
      <c r="BO14" s="78">
        <f t="shared" si="5"/>
        <v>0</v>
      </c>
      <c r="BP14" s="99" t="str">
        <f t="shared" si="6"/>
        <v/>
      </c>
      <c r="BQ14" s="70">
        <f t="shared" si="1"/>
        <v>216.24567688281439</v>
      </c>
      <c r="BR14" s="2"/>
      <c r="BS14" s="2"/>
      <c r="BT14" s="2"/>
      <c r="BU14" s="2"/>
      <c r="BV14" s="2"/>
      <c r="BW14" s="79" t="s">
        <v>41</v>
      </c>
      <c r="BX14" s="16">
        <v>10</v>
      </c>
    </row>
    <row r="15" spans="1:252" ht="13.5" customHeight="1" thickTop="1" thickBot="1" x14ac:dyDescent="0.75">
      <c r="A15" s="2"/>
      <c r="B15" s="162">
        <f>IF(BN141=0,0,ROUND(BN142,2))</f>
        <v>2567.64</v>
      </c>
      <c r="C15" s="163"/>
      <c r="D15" s="2"/>
      <c r="E15" s="2"/>
      <c r="F15" s="167"/>
      <c r="G15" s="168"/>
      <c r="H15" s="169"/>
      <c r="I15" s="169"/>
      <c r="J15" s="169"/>
      <c r="K15" s="169"/>
      <c r="L15" s="169"/>
      <c r="M15" s="169"/>
      <c r="N15" s="169"/>
      <c r="O15" s="170"/>
      <c r="P15" s="170"/>
      <c r="Q15" s="171"/>
      <c r="R15" s="2"/>
      <c r="S15" s="2"/>
      <c r="T15" s="2"/>
      <c r="U15" s="153"/>
      <c r="V15" s="153"/>
      <c r="W15" s="153"/>
      <c r="X15" s="153"/>
      <c r="Y15" s="153"/>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11">
        <v>1.76</v>
      </c>
      <c r="BA15" s="11">
        <f>AZ16-0.01</f>
        <v>1.9999999999999998</v>
      </c>
      <c r="BB15" s="10">
        <v>42.67</v>
      </c>
      <c r="BC15" s="10">
        <v>1.615</v>
      </c>
      <c r="BD15" s="23">
        <f t="shared" si="0"/>
        <v>0</v>
      </c>
      <c r="BE15" s="16">
        <v>65</v>
      </c>
      <c r="BF15" s="16">
        <v>100</v>
      </c>
      <c r="BG15" s="2"/>
      <c r="BH15" s="63">
        <v>26665</v>
      </c>
      <c r="BI15" s="63">
        <v>27029</v>
      </c>
      <c r="BJ15" s="64">
        <v>10</v>
      </c>
      <c r="BK15" s="87">
        <v>4.4999999999999998E-2</v>
      </c>
      <c r="BL15" s="86">
        <f t="shared" si="2"/>
        <v>0.44999999999999996</v>
      </c>
      <c r="BM15" s="76">
        <f t="shared" si="3"/>
        <v>0</v>
      </c>
      <c r="BN15" s="77">
        <f t="shared" si="4"/>
        <v>0</v>
      </c>
      <c r="BO15" s="78">
        <f t="shared" si="5"/>
        <v>0</v>
      </c>
      <c r="BP15" s="99" t="str">
        <f t="shared" si="6"/>
        <v/>
      </c>
      <c r="BQ15" s="70">
        <f t="shared" si="1"/>
        <v>207.92853546424459</v>
      </c>
      <c r="BR15" s="2"/>
      <c r="BS15" s="2"/>
      <c r="BT15" s="2"/>
      <c r="BU15" s="2"/>
      <c r="BV15" s="2"/>
      <c r="BW15" s="79" t="s">
        <v>44</v>
      </c>
      <c r="BX15" s="16">
        <v>20</v>
      </c>
    </row>
    <row r="16" spans="1:252" ht="12" customHeight="1" thickTop="1" x14ac:dyDescent="0.6">
      <c r="A16" s="2"/>
      <c r="B16" s="172" t="s">
        <v>54</v>
      </c>
      <c r="C16" s="173"/>
      <c r="D16" s="2"/>
      <c r="E16" s="2"/>
      <c r="F16" s="100"/>
      <c r="G16" s="100"/>
      <c r="H16" s="100"/>
      <c r="I16" s="100"/>
      <c r="J16" s="101"/>
      <c r="K16" s="100"/>
      <c r="L16" s="100"/>
      <c r="M16" s="100"/>
      <c r="N16" s="100"/>
      <c r="O16" s="100"/>
      <c r="P16" s="100"/>
      <c r="Q16" s="100"/>
      <c r="R16" s="2"/>
      <c r="S16" s="2"/>
      <c r="T16" s="2"/>
      <c r="U16" s="153"/>
      <c r="V16" s="153"/>
      <c r="W16" s="153"/>
      <c r="X16" s="153"/>
      <c r="Y16" s="153"/>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11">
        <v>2.0099999999999998</v>
      </c>
      <c r="BA16" s="11">
        <f>AZ17-0.01</f>
        <v>2.25</v>
      </c>
      <c r="BB16" s="10">
        <v>37.65</v>
      </c>
      <c r="BC16" s="10">
        <v>1.756</v>
      </c>
      <c r="BD16" s="23">
        <f t="shared" si="0"/>
        <v>0</v>
      </c>
      <c r="BE16" s="16">
        <v>66</v>
      </c>
      <c r="BF16" s="16">
        <v>100</v>
      </c>
      <c r="BG16" s="2"/>
      <c r="BH16" s="63">
        <v>27030</v>
      </c>
      <c r="BI16" s="63">
        <v>27394</v>
      </c>
      <c r="BJ16" s="64">
        <v>10</v>
      </c>
      <c r="BK16" s="87">
        <v>5.1999999999999998E-2</v>
      </c>
      <c r="BL16" s="86">
        <f t="shared" si="2"/>
        <v>0.52</v>
      </c>
      <c r="BM16" s="76">
        <f t="shared" si="3"/>
        <v>0</v>
      </c>
      <c r="BN16" s="77">
        <f t="shared" si="4"/>
        <v>0</v>
      </c>
      <c r="BO16" s="78">
        <f t="shared" si="5"/>
        <v>0</v>
      </c>
      <c r="BP16" s="99" t="str">
        <f t="shared" si="6"/>
        <v/>
      </c>
      <c r="BQ16" s="70">
        <f t="shared" si="1"/>
        <v>199.93128410023519</v>
      </c>
      <c r="BR16" s="2"/>
      <c r="BS16" s="2"/>
      <c r="BT16" s="2"/>
      <c r="BU16" s="2"/>
      <c r="BV16" s="2"/>
      <c r="BW16" s="79" t="s">
        <v>39</v>
      </c>
      <c r="BX16" s="16">
        <v>10</v>
      </c>
    </row>
    <row r="17" spans="1:76" ht="11.5" customHeight="1" thickBot="1" x14ac:dyDescent="0.75">
      <c r="A17" s="2"/>
      <c r="B17" s="84">
        <f>IF(F9=0,"",F9)</f>
        <v>46041</v>
      </c>
      <c r="C17" s="85">
        <f>IF(F9=0,"",DATE(YEAR(F9),MONTH(F9),DAY(F9)-1748))</f>
        <v>44293</v>
      </c>
      <c r="D17" s="2"/>
      <c r="E17" s="2"/>
      <c r="F17" s="154" t="str">
        <f>"Por pensiòn asignada despues del 27 Nov 1990, Topada a "&amp;"$ "&amp;ROUND(30.4166*I9,2)&amp;" "&amp;"por rebasar el "&amp;"100% del salario base con el cual se realizò el càlculo"</f>
        <v>Por pensiòn asignada despues del 27 Nov 1990, Topada a $ 63895.54 por rebasar el 100% del salario base con el cual se realizò el càlculo</v>
      </c>
      <c r="G17" s="155"/>
      <c r="H17" s="155"/>
      <c r="I17" s="155"/>
      <c r="J17" s="155"/>
      <c r="K17" s="155"/>
      <c r="L17" s="155"/>
      <c r="M17" s="155"/>
      <c r="N17" s="155"/>
      <c r="O17" s="155"/>
      <c r="P17" s="155"/>
      <c r="Q17" s="155"/>
      <c r="R17" s="2"/>
      <c r="S17" s="2"/>
      <c r="T17" s="2"/>
      <c r="U17" s="153"/>
      <c r="V17" s="153"/>
      <c r="W17" s="153"/>
      <c r="X17" s="153"/>
      <c r="Y17" s="153"/>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11">
        <v>2.2599999999999998</v>
      </c>
      <c r="BA17" s="11">
        <v>2.5</v>
      </c>
      <c r="BB17" s="10">
        <v>33.68</v>
      </c>
      <c r="BC17" s="10">
        <v>1.8680000000000001</v>
      </c>
      <c r="BD17" s="23">
        <f t="shared" si="0"/>
        <v>0</v>
      </c>
      <c r="BE17" s="16">
        <v>67</v>
      </c>
      <c r="BF17" s="16">
        <v>100</v>
      </c>
      <c r="BG17" s="2"/>
      <c r="BH17" s="63">
        <v>27395</v>
      </c>
      <c r="BI17" s="63">
        <v>27759</v>
      </c>
      <c r="BJ17" s="64">
        <v>10</v>
      </c>
      <c r="BK17" s="87">
        <v>6.3E-2</v>
      </c>
      <c r="BL17" s="86">
        <f t="shared" si="2"/>
        <v>0.63</v>
      </c>
      <c r="BM17" s="76">
        <f t="shared" si="3"/>
        <v>0</v>
      </c>
      <c r="BN17" s="77">
        <f t="shared" si="4"/>
        <v>0</v>
      </c>
      <c r="BO17" s="78">
        <f t="shared" si="5"/>
        <v>0</v>
      </c>
      <c r="BP17" s="99" t="str">
        <f t="shared" si="6"/>
        <v/>
      </c>
      <c r="BQ17" s="70">
        <f t="shared" si="1"/>
        <v>192.24161932714921</v>
      </c>
      <c r="BR17" s="2"/>
      <c r="BS17" s="2"/>
      <c r="BT17" s="2"/>
      <c r="BU17" s="2"/>
      <c r="BV17" s="2"/>
      <c r="BW17" s="79" t="s">
        <v>42</v>
      </c>
      <c r="BX17" s="16">
        <v>10</v>
      </c>
    </row>
    <row r="18" spans="1:76" ht="11.5" customHeight="1" x14ac:dyDescent="0.6">
      <c r="A18" s="2"/>
      <c r="B18" s="2"/>
      <c r="C18" s="2"/>
      <c r="D18" s="2"/>
      <c r="E18" s="2"/>
      <c r="F18" s="210" t="str">
        <f>"Salario diario promedio de las ùtimas 250 semanas topado; solo puede registrar como màximo"&amp;" "&amp;"$"&amp;ROUND(B15,2)</f>
        <v>Salario diario promedio de las ùtimas 250 semanas topado; solo puede registrar como màximo $2567.64</v>
      </c>
      <c r="G18" s="211"/>
      <c r="H18" s="211"/>
      <c r="I18" s="211"/>
      <c r="J18" s="211"/>
      <c r="K18" s="211"/>
      <c r="L18" s="211"/>
      <c r="M18" s="211"/>
      <c r="N18" s="211"/>
      <c r="O18" s="211"/>
      <c r="P18" s="211"/>
      <c r="Q18" s="211"/>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46">
        <v>2.5099999999999998</v>
      </c>
      <c r="BA18" s="46">
        <v>2.75</v>
      </c>
      <c r="BB18" s="46">
        <v>30.48</v>
      </c>
      <c r="BC18" s="46">
        <v>1.958</v>
      </c>
      <c r="BD18" s="23">
        <f t="shared" si="0"/>
        <v>0</v>
      </c>
      <c r="BE18" s="16">
        <v>69</v>
      </c>
      <c r="BF18" s="16">
        <v>100</v>
      </c>
      <c r="BG18" s="2"/>
      <c r="BH18" s="63">
        <v>27760</v>
      </c>
      <c r="BI18" s="63">
        <v>28125</v>
      </c>
      <c r="BJ18" s="64">
        <v>10</v>
      </c>
      <c r="BK18" s="87">
        <v>9.7000000000000003E-2</v>
      </c>
      <c r="BL18" s="86">
        <f t="shared" si="2"/>
        <v>0.97</v>
      </c>
      <c r="BM18" s="76">
        <f t="shared" si="3"/>
        <v>0</v>
      </c>
      <c r="BN18" s="77">
        <f t="shared" si="4"/>
        <v>0</v>
      </c>
      <c r="BO18" s="78">
        <f t="shared" si="5"/>
        <v>0</v>
      </c>
      <c r="BP18" s="99" t="str">
        <f t="shared" si="6"/>
        <v/>
      </c>
      <c r="BQ18" s="70">
        <f t="shared" si="1"/>
        <v>184.84771089148961</v>
      </c>
      <c r="BR18" s="2"/>
      <c r="BS18" s="2"/>
      <c r="BT18" s="2"/>
      <c r="BU18" s="2"/>
      <c r="BV18" s="2"/>
      <c r="BW18" s="79" t="s">
        <v>45</v>
      </c>
      <c r="BX18" s="16">
        <v>10</v>
      </c>
    </row>
    <row r="19" spans="1:76" ht="11.5" customHeight="1" x14ac:dyDescent="0.6">
      <c r="A19" s="2"/>
      <c r="B19" s="2"/>
      <c r="C19" s="2"/>
      <c r="D19" s="2"/>
      <c r="E19" s="2"/>
      <c r="F19" s="154" t="str">
        <f>"La edad para pensionarse debe ser al menos de 60 años"</f>
        <v>La edad para pensionarse debe ser al menos de 60 años</v>
      </c>
      <c r="G19" s="155"/>
      <c r="H19" s="155"/>
      <c r="I19" s="155"/>
      <c r="J19" s="155"/>
      <c r="K19" s="155"/>
      <c r="L19" s="155"/>
      <c r="M19" s="155"/>
      <c r="N19" s="155"/>
      <c r="O19" s="155"/>
      <c r="P19" s="155"/>
      <c r="Q19" s="155"/>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11">
        <v>2.76</v>
      </c>
      <c r="BA19" s="11">
        <v>3</v>
      </c>
      <c r="BB19" s="10">
        <v>27.83</v>
      </c>
      <c r="BC19" s="10">
        <v>2.0329999999999999</v>
      </c>
      <c r="BD19" s="23">
        <f t="shared" si="0"/>
        <v>0</v>
      </c>
      <c r="BE19" s="16">
        <v>70</v>
      </c>
      <c r="BF19" s="16">
        <v>100</v>
      </c>
      <c r="BG19" s="2"/>
      <c r="BH19" s="63">
        <v>28126</v>
      </c>
      <c r="BI19" s="63">
        <v>28490</v>
      </c>
      <c r="BJ19" s="64">
        <v>10</v>
      </c>
      <c r="BK19" s="87">
        <v>0.106</v>
      </c>
      <c r="BL19" s="86">
        <f t="shared" si="2"/>
        <v>1.06</v>
      </c>
      <c r="BM19" s="76">
        <f t="shared" si="3"/>
        <v>0</v>
      </c>
      <c r="BN19" s="77">
        <f t="shared" si="4"/>
        <v>0</v>
      </c>
      <c r="BO19" s="78">
        <f t="shared" si="5"/>
        <v>0</v>
      </c>
      <c r="BP19" s="99" t="str">
        <f t="shared" si="6"/>
        <v/>
      </c>
      <c r="BQ19" s="70">
        <f t="shared" si="1"/>
        <v>177.73818354950924</v>
      </c>
      <c r="BR19" s="2"/>
      <c r="BS19" s="2"/>
      <c r="BT19" s="2"/>
      <c r="BU19" s="2"/>
      <c r="BV19" s="2"/>
      <c r="BW19" s="79" t="s">
        <v>40</v>
      </c>
      <c r="BX19" s="16">
        <v>20</v>
      </c>
    </row>
    <row r="20" spans="1:76" ht="11.5" customHeight="1" x14ac:dyDescent="0.6">
      <c r="A20" s="2"/>
      <c r="B20" s="2"/>
      <c r="C20" s="2"/>
      <c r="D20" s="2"/>
      <c r="E20" s="2"/>
      <c r="F20" s="154" t="s">
        <v>106</v>
      </c>
      <c r="G20" s="155"/>
      <c r="H20" s="155"/>
      <c r="I20" s="155"/>
      <c r="J20" s="155"/>
      <c r="K20" s="155"/>
      <c r="L20" s="155"/>
      <c r="M20" s="155"/>
      <c r="N20" s="155"/>
      <c r="O20" s="155"/>
      <c r="P20" s="155"/>
      <c r="Q20" s="155"/>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11">
        <v>3.01</v>
      </c>
      <c r="BA20" s="11">
        <f>AZ21-0.01</f>
        <v>3.25</v>
      </c>
      <c r="BB20" s="10">
        <v>25.6</v>
      </c>
      <c r="BC20" s="10">
        <v>2.0960000000000001</v>
      </c>
      <c r="BD20" s="23">
        <f t="shared" si="0"/>
        <v>0</v>
      </c>
      <c r="BE20" s="16">
        <v>71</v>
      </c>
      <c r="BF20" s="16">
        <v>100</v>
      </c>
      <c r="BG20" s="2"/>
      <c r="BH20" s="63">
        <v>28491</v>
      </c>
      <c r="BI20" s="63">
        <v>28855</v>
      </c>
      <c r="BJ20" s="64">
        <v>10</v>
      </c>
      <c r="BK20" s="87">
        <v>0.12</v>
      </c>
      <c r="BL20" s="86">
        <f t="shared" si="2"/>
        <v>1.2</v>
      </c>
      <c r="BM20" s="76">
        <f t="shared" si="3"/>
        <v>0</v>
      </c>
      <c r="BN20" s="77">
        <f t="shared" si="4"/>
        <v>0</v>
      </c>
      <c r="BO20" s="78">
        <f t="shared" si="5"/>
        <v>0</v>
      </c>
      <c r="BP20" s="99" t="str">
        <f t="shared" si="6"/>
        <v/>
      </c>
      <c r="BQ20" s="70">
        <f t="shared" si="1"/>
        <v>170.9020995668358</v>
      </c>
      <c r="BR20" s="2"/>
      <c r="BS20" s="2"/>
      <c r="BT20" s="2"/>
      <c r="BU20" s="2"/>
      <c r="BV20" s="2"/>
      <c r="BW20" s="79" t="s">
        <v>43</v>
      </c>
      <c r="BX20" s="16">
        <v>20</v>
      </c>
    </row>
    <row r="21" spans="1:76" ht="11.5" customHeight="1" x14ac:dyDescent="0.6">
      <c r="A21" s="2"/>
      <c r="B21" s="2"/>
      <c r="C21" s="2"/>
      <c r="D21" s="2"/>
      <c r="E21" s="2"/>
      <c r="F21" s="154" t="str">
        <f>"No se  aplica el incremento del 11%   Por registrar una fecha anterior a la emision del decreto ( 5-Ene-2004)"</f>
        <v>No se  aplica el incremento del 11%   Por registrar una fecha anterior a la emision del decreto ( 5-Ene-2004)</v>
      </c>
      <c r="G21" s="155"/>
      <c r="H21" s="155"/>
      <c r="I21" s="155"/>
      <c r="J21" s="155"/>
      <c r="K21" s="155"/>
      <c r="L21" s="155"/>
      <c r="M21" s="155"/>
      <c r="N21" s="155"/>
      <c r="O21" s="155"/>
      <c r="P21" s="155"/>
      <c r="Q21" s="155"/>
      <c r="R21" s="144"/>
      <c r="S21" s="144"/>
      <c r="T21" s="144"/>
      <c r="U21" s="144"/>
      <c r="V21" s="144"/>
      <c r="W21" s="144"/>
      <c r="X21" s="144"/>
      <c r="Y21" s="144"/>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12">
        <v>3.26</v>
      </c>
      <c r="BA21" s="12">
        <f>AZ22-0.01</f>
        <v>3.5</v>
      </c>
      <c r="BB21" s="13">
        <v>23.7</v>
      </c>
      <c r="BC21" s="13">
        <v>2.149</v>
      </c>
      <c r="BD21" s="23">
        <f t="shared" si="0"/>
        <v>0</v>
      </c>
      <c r="BE21" s="16">
        <v>72</v>
      </c>
      <c r="BF21" s="16">
        <v>100</v>
      </c>
      <c r="BG21" s="2"/>
      <c r="BH21" s="63">
        <v>28856</v>
      </c>
      <c r="BI21" s="63">
        <v>29220</v>
      </c>
      <c r="BJ21" s="64">
        <v>10</v>
      </c>
      <c r="BK21" s="87">
        <v>0.13800000000000001</v>
      </c>
      <c r="BL21" s="86">
        <f t="shared" si="2"/>
        <v>1.3800000000000001</v>
      </c>
      <c r="BM21" s="76">
        <f t="shared" si="3"/>
        <v>0</v>
      </c>
      <c r="BN21" s="77">
        <f t="shared" si="4"/>
        <v>0</v>
      </c>
      <c r="BO21" s="78">
        <f t="shared" si="5"/>
        <v>0</v>
      </c>
      <c r="BP21" s="99" t="str">
        <f t="shared" si="6"/>
        <v/>
      </c>
      <c r="BQ21" s="70">
        <f t="shared" si="1"/>
        <v>164.32894189118826</v>
      </c>
      <c r="BR21" s="2"/>
      <c r="BS21" s="2"/>
      <c r="BT21" s="2"/>
      <c r="BU21" s="2"/>
      <c r="BV21" s="2"/>
      <c r="BW21" s="79" t="s">
        <v>46</v>
      </c>
      <c r="BX21" s="16">
        <v>20</v>
      </c>
    </row>
    <row r="22" spans="1:76" ht="11.5" customHeight="1" x14ac:dyDescent="0.6">
      <c r="A22" s="2"/>
      <c r="B22" s="2"/>
      <c r="C22" s="2"/>
      <c r="D22" s="2"/>
      <c r="E22" s="2"/>
      <c r="F22" s="154" t="str">
        <f>"Solo se consideran fechas de 1970 al 2046; Registre fechas dentro de este rango "</f>
        <v xml:space="preserve">Solo se consideran fechas de 1970 al 2046; Registre fechas dentro de este rango </v>
      </c>
      <c r="G22" s="155"/>
      <c r="H22" s="155"/>
      <c r="I22" s="155"/>
      <c r="J22" s="155"/>
      <c r="K22" s="155"/>
      <c r="L22" s="155"/>
      <c r="M22" s="155"/>
      <c r="N22" s="155"/>
      <c r="O22" s="155"/>
      <c r="P22" s="155"/>
      <c r="Q22" s="155"/>
      <c r="R22" s="37"/>
      <c r="S22" s="146"/>
      <c r="T22" s="146"/>
      <c r="U22" s="146"/>
      <c r="V22" s="146"/>
      <c r="W22" s="146"/>
      <c r="X22" s="146"/>
      <c r="Y22" s="146"/>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11">
        <v>3.51</v>
      </c>
      <c r="BA22" s="11">
        <f>AZ23-0.01</f>
        <v>3.75</v>
      </c>
      <c r="BB22" s="10">
        <v>22.07</v>
      </c>
      <c r="BC22" s="10">
        <v>2.1949999999999998</v>
      </c>
      <c r="BD22" s="23">
        <f t="shared" si="0"/>
        <v>0</v>
      </c>
      <c r="BE22" s="16">
        <v>73</v>
      </c>
      <c r="BF22" s="16">
        <v>100</v>
      </c>
      <c r="BG22" s="2"/>
      <c r="BH22" s="63">
        <v>29221</v>
      </c>
      <c r="BI22" s="63">
        <v>29586</v>
      </c>
      <c r="BJ22" s="64">
        <v>10</v>
      </c>
      <c r="BK22" s="87">
        <v>0.16300000000000001</v>
      </c>
      <c r="BL22" s="86">
        <f t="shared" si="2"/>
        <v>1.6300000000000001</v>
      </c>
      <c r="BM22" s="76">
        <f t="shared" si="3"/>
        <v>0</v>
      </c>
      <c r="BN22" s="77">
        <f t="shared" si="4"/>
        <v>0</v>
      </c>
      <c r="BO22" s="78">
        <f t="shared" si="5"/>
        <v>0</v>
      </c>
      <c r="BP22" s="99" t="str">
        <f t="shared" si="6"/>
        <v/>
      </c>
      <c r="BQ22" s="70">
        <f t="shared" si="1"/>
        <v>158.0085979722964</v>
      </c>
      <c r="BR22" s="2"/>
      <c r="BS22" s="2"/>
      <c r="BT22" s="2"/>
      <c r="BU22" s="2"/>
      <c r="BV22" s="2"/>
      <c r="BW22" s="79" t="s">
        <v>55</v>
      </c>
      <c r="BX22" s="16">
        <v>30</v>
      </c>
    </row>
    <row r="23" spans="1:76" ht="12" customHeight="1" x14ac:dyDescent="0.6">
      <c r="A23" s="2"/>
      <c r="B23" s="2"/>
      <c r="C23" s="2"/>
      <c r="D23" s="2"/>
      <c r="E23" s="2"/>
      <c r="F23" s="154" t="str">
        <f>"Por pension asignada antes del 27 Nov 1990  topada a"&amp;" "&amp;"$"&amp;ROUND(IF(H9&lt;=1500,0.8*30.4166*I9,IF(H9&lt;=2000,0.9*30.4166*I9,IF(H9&gt;2000,30.4166*I9))),2)&amp;" "&amp;"por rebasar el"&amp;" "&amp;IF(H9&lt;=1500,"80%",IF(H9&lt;=2000,"90%",IF(H9&gt;2000,"100%")))&amp;" "&amp;"del salario base con el cual se realizò el càlculo "</f>
        <v xml:space="preserve">Por pension asignada antes del 27 Nov 1990  topada a $51116.43 por rebasar el 80% del salario base con el cual se realizò el càlculo </v>
      </c>
      <c r="G23" s="155"/>
      <c r="H23" s="155"/>
      <c r="I23" s="155"/>
      <c r="J23" s="155"/>
      <c r="K23" s="155"/>
      <c r="L23" s="155"/>
      <c r="M23" s="155"/>
      <c r="N23" s="155"/>
      <c r="O23" s="155"/>
      <c r="P23" s="155"/>
      <c r="Q23" s="155"/>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11">
        <v>3.76</v>
      </c>
      <c r="BA23" s="11">
        <f>AZ24-0.01</f>
        <v>4</v>
      </c>
      <c r="BB23" s="10">
        <v>20.65</v>
      </c>
      <c r="BC23" s="10">
        <v>2.2349999999999999</v>
      </c>
      <c r="BD23" s="23">
        <f t="shared" si="0"/>
        <v>0</v>
      </c>
      <c r="BE23" s="16">
        <v>74</v>
      </c>
      <c r="BF23" s="16">
        <v>100</v>
      </c>
      <c r="BG23" s="2"/>
      <c r="BH23" s="63">
        <v>29587</v>
      </c>
      <c r="BI23" s="63">
        <v>29951</v>
      </c>
      <c r="BJ23" s="64">
        <v>10</v>
      </c>
      <c r="BK23" s="87">
        <v>0.21</v>
      </c>
      <c r="BL23" s="86">
        <f t="shared" si="2"/>
        <v>2.1</v>
      </c>
      <c r="BM23" s="76">
        <f t="shared" si="3"/>
        <v>0</v>
      </c>
      <c r="BN23" s="77">
        <f t="shared" si="4"/>
        <v>0</v>
      </c>
      <c r="BO23" s="78">
        <f t="shared" si="5"/>
        <v>0</v>
      </c>
      <c r="BP23" s="99" t="str">
        <f t="shared" si="6"/>
        <v/>
      </c>
      <c r="BQ23" s="70">
        <f t="shared" si="1"/>
        <v>151.93134420413114</v>
      </c>
      <c r="BR23" s="2"/>
      <c r="BS23" s="2"/>
      <c r="BT23" s="2"/>
      <c r="BU23" s="2"/>
      <c r="BV23" s="2"/>
      <c r="BW23" s="79" t="s">
        <v>56</v>
      </c>
      <c r="BX23" s="16">
        <v>30</v>
      </c>
    </row>
    <row r="24" spans="1:76" ht="12" customHeight="1" x14ac:dyDescent="0.6">
      <c r="A24" s="2"/>
      <c r="B24" s="2"/>
      <c r="C24" s="2"/>
      <c r="D24" s="2"/>
      <c r="E24" s="2"/>
      <c r="F24" s="154" t="str">
        <f>"El monto rebasa 9 veces el salario minimo mensual; el excedente de $"&amp;ROUND(K9*30.416*9,2)&amp;" "&amp;"pasa por impuestos"</f>
        <v>El monto rebasa 9 veces el salario minimo mensual; el excedente de $32210.25 pasa por impuestos</v>
      </c>
      <c r="G24" s="155"/>
      <c r="H24" s="155"/>
      <c r="I24" s="155"/>
      <c r="J24" s="155"/>
      <c r="K24" s="155"/>
      <c r="L24" s="155"/>
      <c r="M24" s="155"/>
      <c r="N24" s="155"/>
      <c r="O24" s="155"/>
      <c r="P24" s="155"/>
      <c r="Q24" s="155"/>
      <c r="R24" s="2"/>
      <c r="S24" s="145"/>
      <c r="T24" s="145"/>
      <c r="U24" s="145"/>
      <c r="V24" s="145"/>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11">
        <v>4.01</v>
      </c>
      <c r="BA24" s="11">
        <f>AZ25-0.01</f>
        <v>4.25</v>
      </c>
      <c r="BB24" s="10">
        <v>19.39</v>
      </c>
      <c r="BC24" s="10">
        <v>2.2709999999999999</v>
      </c>
      <c r="BD24" s="23">
        <f t="shared" si="0"/>
        <v>0</v>
      </c>
      <c r="BE24" s="16">
        <v>75</v>
      </c>
      <c r="BF24" s="16">
        <v>100</v>
      </c>
      <c r="BG24" s="2"/>
      <c r="BH24" s="65">
        <v>29952</v>
      </c>
      <c r="BI24" s="65">
        <v>30255</v>
      </c>
      <c r="BJ24" s="64">
        <v>10</v>
      </c>
      <c r="BK24" s="87">
        <v>0.28000000000000003</v>
      </c>
      <c r="BL24" s="86">
        <f t="shared" si="2"/>
        <v>2.8000000000000003</v>
      </c>
      <c r="BM24" s="76">
        <f t="shared" si="3"/>
        <v>0</v>
      </c>
      <c r="BN24" s="77">
        <f t="shared" si="4"/>
        <v>0</v>
      </c>
      <c r="BO24" s="78">
        <f t="shared" si="5"/>
        <v>0</v>
      </c>
      <c r="BP24" s="99" t="str">
        <f t="shared" si="6"/>
        <v/>
      </c>
      <c r="BQ24" s="70">
        <f t="shared" si="1"/>
        <v>146.0878309655107</v>
      </c>
      <c r="BR24" s="2"/>
      <c r="BS24" s="2"/>
      <c r="BT24" s="2"/>
      <c r="BU24" s="2"/>
      <c r="BV24" s="2"/>
      <c r="BW24" s="79" t="s">
        <v>57</v>
      </c>
      <c r="BX24" s="16">
        <v>30</v>
      </c>
    </row>
    <row r="25" spans="1:76" ht="14.25" customHeight="1" x14ac:dyDescent="0.6">
      <c r="A25" s="2"/>
      <c r="B25" s="2"/>
      <c r="C25" s="2"/>
      <c r="D25" s="2"/>
      <c r="E25" s="2"/>
      <c r="F25" s="154" t="str">
        <f>"El monto de la pensión no rebasa la cantidad mínima garantizable; considere la cantidad de"&amp;" "&amp;"$"&amp;ROUND(K9*365/12,2)</f>
        <v>El monto de la pensión no rebasa la cantidad mínima garantizable; considere la cantidad de $3579</v>
      </c>
      <c r="G25" s="155"/>
      <c r="H25" s="155"/>
      <c r="I25" s="155"/>
      <c r="J25" s="155"/>
      <c r="K25" s="155"/>
      <c r="L25" s="155"/>
      <c r="M25" s="155"/>
      <c r="N25" s="155"/>
      <c r="O25" s="155"/>
      <c r="P25" s="155"/>
      <c r="Q25" s="155"/>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11">
        <v>4.26</v>
      </c>
      <c r="BA25" s="11">
        <v>4.5</v>
      </c>
      <c r="BB25" s="10">
        <v>18.29</v>
      </c>
      <c r="BC25" s="10">
        <v>2.302</v>
      </c>
      <c r="BD25" s="23">
        <f t="shared" si="0"/>
        <v>0</v>
      </c>
      <c r="BE25" s="16">
        <v>76</v>
      </c>
      <c r="BF25" s="16">
        <v>100</v>
      </c>
      <c r="BG25" s="2"/>
      <c r="BH25" s="65">
        <v>30256</v>
      </c>
      <c r="BI25" s="65">
        <v>30316</v>
      </c>
      <c r="BJ25" s="64">
        <v>10</v>
      </c>
      <c r="BK25" s="88">
        <v>0.36399999999999999</v>
      </c>
      <c r="BL25" s="86">
        <f t="shared" si="2"/>
        <v>3.6399999999999997</v>
      </c>
      <c r="BM25" s="76">
        <f t="shared" si="3"/>
        <v>0</v>
      </c>
      <c r="BN25" s="77">
        <f t="shared" si="4"/>
        <v>0</v>
      </c>
      <c r="BO25" s="78">
        <f t="shared" si="5"/>
        <v>0</v>
      </c>
      <c r="BP25" s="99" t="str">
        <f t="shared" si="6"/>
        <v/>
      </c>
      <c r="BQ25" s="70">
        <f t="shared" si="1"/>
        <v>140.46906823606798</v>
      </c>
      <c r="BR25" s="2"/>
      <c r="BS25" s="2"/>
      <c r="BT25" s="2"/>
      <c r="BU25" s="2"/>
      <c r="BV25" s="2"/>
      <c r="BW25" s="79" t="s">
        <v>58</v>
      </c>
      <c r="BX25" s="16">
        <v>40</v>
      </c>
    </row>
    <row r="26" spans="1:76" ht="12" customHeight="1" x14ac:dyDescent="0.6">
      <c r="A26" s="2"/>
      <c r="B26" s="2"/>
      <c r="C26" s="2"/>
      <c r="D26" s="2"/>
      <c r="E26" s="2"/>
      <c r="F26" s="2"/>
      <c r="G26" s="2"/>
      <c r="H26" s="2"/>
      <c r="I26" s="2"/>
      <c r="J26" s="2"/>
      <c r="K26" s="9"/>
      <c r="L26" s="9"/>
      <c r="M26" s="9"/>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11">
        <v>4.51</v>
      </c>
      <c r="BA26" s="11">
        <v>4.75</v>
      </c>
      <c r="BB26" s="10">
        <v>17.3</v>
      </c>
      <c r="BC26" s="10">
        <v>2.33</v>
      </c>
      <c r="BD26" s="23">
        <f t="shared" si="0"/>
        <v>0</v>
      </c>
      <c r="BE26" s="16">
        <v>77</v>
      </c>
      <c r="BF26" s="16">
        <v>100</v>
      </c>
      <c r="BG26" s="2"/>
      <c r="BH26" s="65">
        <v>30317</v>
      </c>
      <c r="BI26" s="65">
        <v>30480</v>
      </c>
      <c r="BJ26" s="64">
        <v>10</v>
      </c>
      <c r="BK26" s="88">
        <v>0.45500000000000002</v>
      </c>
      <c r="BL26" s="86">
        <f t="shared" si="2"/>
        <v>4.55</v>
      </c>
      <c r="BM26" s="76">
        <f t="shared" si="3"/>
        <v>0</v>
      </c>
      <c r="BN26" s="77">
        <f t="shared" si="4"/>
        <v>0</v>
      </c>
      <c r="BO26" s="78">
        <f t="shared" si="5"/>
        <v>0</v>
      </c>
      <c r="BP26" s="99" t="str">
        <f t="shared" si="6"/>
        <v/>
      </c>
      <c r="BQ26" s="70">
        <f t="shared" si="1"/>
        <v>135.06641176544997</v>
      </c>
      <c r="BR26" s="2"/>
      <c r="BS26" s="2"/>
      <c r="BT26" s="2"/>
      <c r="BU26" s="2"/>
      <c r="BV26" s="2"/>
      <c r="BW26" s="79" t="s">
        <v>59</v>
      </c>
      <c r="BX26" s="16">
        <v>40</v>
      </c>
    </row>
    <row r="27" spans="1:76" ht="12" customHeight="1" x14ac:dyDescent="0.6">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11">
        <v>4.76</v>
      </c>
      <c r="BA27" s="11">
        <v>5</v>
      </c>
      <c r="BB27" s="10">
        <v>16.41</v>
      </c>
      <c r="BC27" s="10">
        <v>2.355</v>
      </c>
      <c r="BD27" s="23">
        <f t="shared" si="0"/>
        <v>0</v>
      </c>
      <c r="BE27" s="16">
        <v>78</v>
      </c>
      <c r="BF27" s="16">
        <v>100</v>
      </c>
      <c r="BG27" s="2"/>
      <c r="BH27" s="65">
        <v>30481</v>
      </c>
      <c r="BI27" s="65">
        <v>30681</v>
      </c>
      <c r="BJ27" s="64">
        <v>10</v>
      </c>
      <c r="BK27" s="88">
        <v>0.52300000000000002</v>
      </c>
      <c r="BL27" s="86">
        <f t="shared" si="2"/>
        <v>5.23</v>
      </c>
      <c r="BM27" s="76">
        <f t="shared" si="3"/>
        <v>0</v>
      </c>
      <c r="BN27" s="77">
        <f t="shared" si="4"/>
        <v>0</v>
      </c>
      <c r="BO27" s="78">
        <f t="shared" si="5"/>
        <v>0</v>
      </c>
      <c r="BP27" s="99" t="str">
        <f t="shared" si="6"/>
        <v/>
      </c>
      <c r="BQ27" s="70">
        <f t="shared" si="1"/>
        <v>129.87154977447113</v>
      </c>
      <c r="BR27" s="2"/>
      <c r="BS27" s="2"/>
      <c r="BT27" s="2"/>
      <c r="BU27" s="2"/>
      <c r="BV27" s="2"/>
      <c r="BW27" s="79" t="s">
        <v>60</v>
      </c>
      <c r="BX27" s="16">
        <v>40</v>
      </c>
    </row>
    <row r="28" spans="1:76" ht="12" customHeight="1" x14ac:dyDescent="0.6">
      <c r="A28" s="2"/>
      <c r="B28" s="2"/>
      <c r="C28" s="2"/>
      <c r="D28" s="2"/>
      <c r="E28" s="2"/>
      <c r="F28" s="2"/>
      <c r="G28" s="2"/>
      <c r="H28" s="147"/>
      <c r="I28" s="147"/>
      <c r="J28" s="147"/>
      <c r="K28" s="147"/>
      <c r="L28" s="147"/>
      <c r="M28" s="147"/>
      <c r="N28" s="147"/>
      <c r="O28" s="147"/>
      <c r="P28" s="147"/>
      <c r="Q28" s="147"/>
      <c r="R28" s="147"/>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11">
        <v>5.01</v>
      </c>
      <c r="BA28" s="11">
        <v>5.25</v>
      </c>
      <c r="BB28" s="10">
        <v>15.61</v>
      </c>
      <c r="BC28" s="10">
        <v>2.3769999999999998</v>
      </c>
      <c r="BD28" s="23">
        <f t="shared" si="0"/>
        <v>0</v>
      </c>
      <c r="BE28" s="16">
        <v>79</v>
      </c>
      <c r="BF28" s="16">
        <v>100</v>
      </c>
      <c r="BG28" s="2"/>
      <c r="BH28" s="65">
        <v>30682</v>
      </c>
      <c r="BI28" s="65">
        <v>30843</v>
      </c>
      <c r="BJ28" s="64">
        <v>10</v>
      </c>
      <c r="BK28" s="88">
        <v>0.68</v>
      </c>
      <c r="BL28" s="86">
        <f t="shared" si="2"/>
        <v>6.8000000000000007</v>
      </c>
      <c r="BM28" s="76">
        <f t="shared" si="3"/>
        <v>0</v>
      </c>
      <c r="BN28" s="77">
        <f t="shared" si="4"/>
        <v>0</v>
      </c>
      <c r="BO28" s="78">
        <f t="shared" si="5"/>
        <v>0</v>
      </c>
      <c r="BP28" s="99" t="str">
        <f t="shared" si="6"/>
        <v/>
      </c>
      <c r="BQ28" s="70">
        <f t="shared" si="1"/>
        <v>124.87649016776071</v>
      </c>
      <c r="BR28" s="2"/>
      <c r="BS28" s="2"/>
      <c r="BT28" s="2"/>
      <c r="BU28" s="2"/>
      <c r="BV28" s="2"/>
      <c r="BW28" s="79" t="s">
        <v>61</v>
      </c>
      <c r="BX28" s="16">
        <v>50</v>
      </c>
    </row>
    <row r="29" spans="1:76" ht="12" customHeight="1" x14ac:dyDescent="0.6">
      <c r="A29" s="2"/>
      <c r="B29" s="2"/>
      <c r="C29" s="2"/>
      <c r="D29" s="2"/>
      <c r="E29" s="2"/>
      <c r="F29" s="2"/>
      <c r="G29" s="2"/>
      <c r="H29" s="147"/>
      <c r="I29" s="147"/>
      <c r="J29" s="147"/>
      <c r="K29" s="147"/>
      <c r="L29" s="147"/>
      <c r="M29" s="147"/>
      <c r="N29" s="147"/>
      <c r="O29" s="147"/>
      <c r="P29" s="147"/>
      <c r="Q29" s="147"/>
      <c r="R29" s="147"/>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11">
        <v>5.26</v>
      </c>
      <c r="BA29" s="11">
        <v>5.5</v>
      </c>
      <c r="BB29" s="10">
        <v>14.88</v>
      </c>
      <c r="BC29" s="10">
        <v>2.3980000000000001</v>
      </c>
      <c r="BD29" s="23">
        <f t="shared" si="0"/>
        <v>0</v>
      </c>
      <c r="BE29" s="16">
        <v>80</v>
      </c>
      <c r="BF29" s="16">
        <v>100</v>
      </c>
      <c r="BG29" s="2"/>
      <c r="BH29" s="65">
        <v>30844</v>
      </c>
      <c r="BI29" s="65">
        <v>31047</v>
      </c>
      <c r="BJ29" s="64">
        <v>10</v>
      </c>
      <c r="BK29" s="88">
        <v>0.81599999999999995</v>
      </c>
      <c r="BL29" s="86">
        <f t="shared" si="2"/>
        <v>8.16</v>
      </c>
      <c r="BM29" s="76">
        <f t="shared" si="3"/>
        <v>0</v>
      </c>
      <c r="BN29" s="77">
        <f t="shared" si="4"/>
        <v>0</v>
      </c>
      <c r="BO29" s="78">
        <f t="shared" si="5"/>
        <v>0</v>
      </c>
      <c r="BP29" s="99" t="str">
        <f t="shared" si="6"/>
        <v/>
      </c>
      <c r="BQ29" s="70">
        <f t="shared" si="1"/>
        <v>120.07354823823144</v>
      </c>
      <c r="BR29" s="2"/>
      <c r="BS29" s="2"/>
      <c r="BT29" s="2"/>
      <c r="BU29" s="2"/>
      <c r="BV29" s="2"/>
      <c r="BW29" s="79" t="s">
        <v>62</v>
      </c>
      <c r="BX29" s="16">
        <v>50</v>
      </c>
    </row>
    <row r="30" spans="1:76" ht="12" customHeight="1" x14ac:dyDescent="0.6">
      <c r="A30" s="2"/>
      <c r="B30" s="2"/>
      <c r="C30" s="2"/>
      <c r="D30" s="2"/>
      <c r="E30" s="2"/>
      <c r="F30" s="2"/>
      <c r="G30" s="2"/>
      <c r="H30" s="147"/>
      <c r="I30" s="147"/>
      <c r="J30" s="147"/>
      <c r="K30" s="147"/>
      <c r="L30" s="147"/>
      <c r="M30" s="147"/>
      <c r="N30" s="147"/>
      <c r="O30" s="147"/>
      <c r="P30" s="147"/>
      <c r="Q30" s="147"/>
      <c r="R30" s="147"/>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11">
        <v>5.51</v>
      </c>
      <c r="BA30" s="11">
        <v>5.75</v>
      </c>
      <c r="BB30" s="10">
        <v>14.22</v>
      </c>
      <c r="BC30" s="10">
        <v>2.4159999999999999</v>
      </c>
      <c r="BD30" s="23">
        <f t="shared" si="0"/>
        <v>0</v>
      </c>
      <c r="BE30" s="16">
        <v>81</v>
      </c>
      <c r="BF30" s="16">
        <v>100</v>
      </c>
      <c r="BG30" s="2"/>
      <c r="BH30" s="65">
        <v>31048</v>
      </c>
      <c r="BI30" s="65">
        <v>31201</v>
      </c>
      <c r="BJ30" s="64">
        <v>10</v>
      </c>
      <c r="BK30" s="66">
        <v>1.06</v>
      </c>
      <c r="BL30" s="86">
        <f t="shared" si="2"/>
        <v>10.600000000000001</v>
      </c>
      <c r="BM30" s="76">
        <f t="shared" si="3"/>
        <v>0</v>
      </c>
      <c r="BN30" s="77">
        <f t="shared" si="4"/>
        <v>0</v>
      </c>
      <c r="BO30" s="78">
        <f t="shared" si="5"/>
        <v>0</v>
      </c>
      <c r="BP30" s="99" t="str">
        <f t="shared" si="6"/>
        <v/>
      </c>
      <c r="BQ30" s="70">
        <f t="shared" si="1"/>
        <v>115.4553348444533</v>
      </c>
      <c r="BR30" s="2"/>
      <c r="BS30" s="2"/>
      <c r="BT30" s="2"/>
      <c r="BU30" s="2"/>
      <c r="BV30" s="2"/>
      <c r="BW30" s="79" t="s">
        <v>63</v>
      </c>
      <c r="BX30" s="16">
        <v>50</v>
      </c>
    </row>
    <row r="31" spans="1:76" ht="12" customHeight="1" x14ac:dyDescent="0.6">
      <c r="A31" s="2"/>
      <c r="B31" s="2"/>
      <c r="C31" s="2"/>
      <c r="D31" s="2"/>
      <c r="E31" s="2"/>
      <c r="F31" s="2"/>
      <c r="G31" s="2"/>
      <c r="H31" s="147"/>
      <c r="I31" s="147"/>
      <c r="J31" s="147"/>
      <c r="K31" s="147"/>
      <c r="L31" s="147"/>
      <c r="M31" s="147"/>
      <c r="N31" s="147"/>
      <c r="O31" s="147"/>
      <c r="P31" s="147"/>
      <c r="Q31" s="147"/>
      <c r="R31" s="147"/>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11">
        <v>5.76</v>
      </c>
      <c r="BA31" s="11">
        <f>AZ33-0.01</f>
        <v>6</v>
      </c>
      <c r="BB31" s="10">
        <v>13.62</v>
      </c>
      <c r="BC31" s="10">
        <v>2.4329999999999998</v>
      </c>
      <c r="BD31" s="23">
        <f t="shared" si="0"/>
        <v>0</v>
      </c>
      <c r="BE31" s="16">
        <v>82</v>
      </c>
      <c r="BF31" s="16">
        <v>100</v>
      </c>
      <c r="BG31" s="2"/>
      <c r="BH31" s="65">
        <v>31202</v>
      </c>
      <c r="BI31" s="65">
        <v>31412</v>
      </c>
      <c r="BJ31" s="64">
        <v>10</v>
      </c>
      <c r="BK31" s="66">
        <v>1.25</v>
      </c>
      <c r="BL31" s="86">
        <f t="shared" si="2"/>
        <v>12.5</v>
      </c>
      <c r="BM31" s="76">
        <f t="shared" si="3"/>
        <v>0</v>
      </c>
      <c r="BN31" s="77">
        <f t="shared" si="4"/>
        <v>0</v>
      </c>
      <c r="BO31" s="78">
        <f t="shared" si="5"/>
        <v>0</v>
      </c>
      <c r="BP31" s="99" t="str">
        <f t="shared" si="6"/>
        <v/>
      </c>
      <c r="BQ31" s="70">
        <f>BQ33*1.04</f>
        <v>111.01474504274356</v>
      </c>
      <c r="BR31" s="2"/>
      <c r="BS31" s="2"/>
      <c r="BT31" s="2"/>
      <c r="BU31" s="2"/>
      <c r="BV31" s="2"/>
      <c r="BW31" s="79" t="s">
        <v>64</v>
      </c>
      <c r="BX31" s="16">
        <v>60</v>
      </c>
    </row>
    <row r="32" spans="1:76" ht="12" customHeight="1" x14ac:dyDescent="0.6">
      <c r="A32" s="2"/>
      <c r="B32" s="2"/>
      <c r="C32" s="2"/>
      <c r="D32" s="2"/>
      <c r="E32" s="2"/>
      <c r="F32" s="2"/>
      <c r="G32" s="2"/>
      <c r="H32" s="102"/>
      <c r="I32" s="102"/>
      <c r="J32" s="102"/>
      <c r="K32" s="102"/>
      <c r="L32" s="102"/>
      <c r="M32" s="102"/>
      <c r="N32" s="102"/>
      <c r="O32" s="102"/>
      <c r="P32" s="102"/>
      <c r="Q32" s="102"/>
      <c r="R32" s="10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11"/>
      <c r="BA32" s="11"/>
      <c r="BB32" s="10"/>
      <c r="BC32" s="10"/>
      <c r="BD32" s="23"/>
      <c r="BE32" s="16"/>
      <c r="BF32" s="16"/>
      <c r="BG32" s="2"/>
      <c r="BH32" s="65"/>
      <c r="BI32" s="65"/>
      <c r="BJ32" s="64"/>
      <c r="BK32" s="66"/>
      <c r="BL32" s="86"/>
      <c r="BM32" s="76"/>
      <c r="BN32" s="77"/>
      <c r="BO32" s="78"/>
      <c r="BP32" s="99"/>
      <c r="BQ32" s="70"/>
      <c r="BR32" s="2"/>
      <c r="BS32" s="2"/>
      <c r="BT32" s="2"/>
      <c r="BU32" s="2"/>
      <c r="BV32" s="2"/>
      <c r="BW32" s="79"/>
      <c r="BX32" s="16"/>
    </row>
    <row r="33" spans="1:76" ht="14.15" customHeight="1" x14ac:dyDescent="0.6">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11">
        <v>6.01</v>
      </c>
      <c r="BA33" s="48"/>
      <c r="BB33" s="11">
        <v>13</v>
      </c>
      <c r="BC33" s="14">
        <v>2.4500000000000002</v>
      </c>
      <c r="BD33" s="23">
        <f>IF(($I$9/$K$9)&gt;=AZ33,1,0)</f>
        <v>1</v>
      </c>
      <c r="BE33" s="16">
        <v>83</v>
      </c>
      <c r="BF33" s="16">
        <v>100</v>
      </c>
      <c r="BG33" s="2"/>
      <c r="BH33" s="65">
        <v>31413</v>
      </c>
      <c r="BI33" s="65">
        <v>31563</v>
      </c>
      <c r="BJ33" s="64">
        <v>10</v>
      </c>
      <c r="BK33" s="66">
        <v>1.65</v>
      </c>
      <c r="BL33" s="86">
        <f t="shared" si="2"/>
        <v>16.5</v>
      </c>
      <c r="BM33" s="76">
        <f t="shared" si="3"/>
        <v>0</v>
      </c>
      <c r="BN33" s="77">
        <f t="shared" si="4"/>
        <v>0</v>
      </c>
      <c r="BO33" s="78">
        <f t="shared" si="5"/>
        <v>0</v>
      </c>
      <c r="BP33" s="99" t="str">
        <f t="shared" si="6"/>
        <v/>
      </c>
      <c r="BQ33" s="70">
        <f t="shared" si="1"/>
        <v>106.74494715648419</v>
      </c>
      <c r="BR33" s="2"/>
      <c r="BS33" s="2"/>
      <c r="BT33" s="2"/>
      <c r="BU33" s="2"/>
      <c r="BV33" s="2"/>
      <c r="BW33" s="79" t="s">
        <v>65</v>
      </c>
      <c r="BX33" s="16">
        <v>60</v>
      </c>
    </row>
    <row r="34" spans="1:76" ht="14.15" customHeight="1" x14ac:dyDescent="0.6">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18"/>
      <c r="BA34" s="18"/>
      <c r="BB34" s="18"/>
      <c r="BC34" s="18"/>
      <c r="BD34" s="2"/>
      <c r="BE34" s="16">
        <v>84</v>
      </c>
      <c r="BF34" s="16">
        <v>100</v>
      </c>
      <c r="BG34" s="2"/>
      <c r="BH34" s="65">
        <v>31564</v>
      </c>
      <c r="BI34" s="65">
        <v>31706</v>
      </c>
      <c r="BJ34" s="64">
        <v>10</v>
      </c>
      <c r="BK34" s="66">
        <v>2.0649999999999999</v>
      </c>
      <c r="BL34" s="86">
        <f t="shared" si="2"/>
        <v>20.65</v>
      </c>
      <c r="BM34" s="76">
        <f t="shared" si="3"/>
        <v>0</v>
      </c>
      <c r="BN34" s="77">
        <f t="shared" si="4"/>
        <v>0</v>
      </c>
      <c r="BO34" s="78">
        <f t="shared" si="5"/>
        <v>0</v>
      </c>
      <c r="BP34" s="99" t="str">
        <f t="shared" si="6"/>
        <v/>
      </c>
      <c r="BQ34" s="70">
        <f t="shared" si="1"/>
        <v>102.63937226585017</v>
      </c>
      <c r="BR34" s="2"/>
      <c r="BS34" s="2"/>
      <c r="BT34" s="2"/>
      <c r="BU34" s="2"/>
      <c r="BV34" s="2"/>
      <c r="BW34" s="79" t="s">
        <v>66</v>
      </c>
      <c r="BX34" s="16">
        <v>60</v>
      </c>
    </row>
    <row r="35" spans="1:76" ht="14.15" customHeight="1" x14ac:dyDescent="0.6">
      <c r="A35" s="2"/>
      <c r="B35" s="2"/>
      <c r="C35" s="2"/>
      <c r="D35" s="2"/>
      <c r="E35" s="2"/>
      <c r="F35" s="2"/>
      <c r="G35" s="2"/>
      <c r="H35" s="2"/>
      <c r="I35" s="2"/>
      <c r="J35" s="2"/>
      <c r="K35" s="113"/>
      <c r="L35" s="114"/>
      <c r="M35" s="114"/>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18"/>
      <c r="BA35" s="18"/>
      <c r="BB35" s="18"/>
      <c r="BC35" s="18"/>
      <c r="BD35" s="2"/>
      <c r="BE35" s="16">
        <v>85</v>
      </c>
      <c r="BF35" s="16">
        <v>100</v>
      </c>
      <c r="BG35" s="2"/>
      <c r="BH35" s="65">
        <v>31707</v>
      </c>
      <c r="BI35" s="65">
        <v>31777</v>
      </c>
      <c r="BJ35" s="64">
        <v>10</v>
      </c>
      <c r="BK35" s="66">
        <v>2.48</v>
      </c>
      <c r="BL35" s="86">
        <f t="shared" si="2"/>
        <v>24.8</v>
      </c>
      <c r="BM35" s="76">
        <f t="shared" si="3"/>
        <v>0</v>
      </c>
      <c r="BN35" s="77">
        <f t="shared" si="4"/>
        <v>0</v>
      </c>
      <c r="BO35" s="78">
        <f t="shared" si="5"/>
        <v>0</v>
      </c>
      <c r="BP35" s="99" t="str">
        <f t="shared" si="6"/>
        <v/>
      </c>
      <c r="BQ35" s="70">
        <f t="shared" si="1"/>
        <v>98.69170410177901</v>
      </c>
      <c r="BR35" s="2"/>
      <c r="BS35" s="2"/>
      <c r="BT35" s="2"/>
      <c r="BU35" s="2"/>
      <c r="BV35" s="2"/>
      <c r="BW35" s="79" t="s">
        <v>67</v>
      </c>
      <c r="BX35" s="16">
        <v>70</v>
      </c>
    </row>
    <row r="36" spans="1:76" ht="14.15" customHeight="1" x14ac:dyDescent="0.6">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18"/>
      <c r="BA36" s="18"/>
      <c r="BB36" s="18"/>
      <c r="BC36" s="18"/>
      <c r="BD36" s="2"/>
      <c r="BE36" s="16">
        <v>86</v>
      </c>
      <c r="BF36" s="16">
        <v>100</v>
      </c>
      <c r="BG36" s="2"/>
      <c r="BH36" s="65">
        <v>31778</v>
      </c>
      <c r="BI36" s="65">
        <v>31867</v>
      </c>
      <c r="BJ36" s="64">
        <v>10</v>
      </c>
      <c r="BK36" s="66">
        <v>3.05</v>
      </c>
      <c r="BL36" s="86">
        <f t="shared" si="2"/>
        <v>30.5</v>
      </c>
      <c r="BM36" s="76">
        <f t="shared" si="3"/>
        <v>0</v>
      </c>
      <c r="BN36" s="77">
        <f t="shared" si="4"/>
        <v>0</v>
      </c>
      <c r="BO36" s="78">
        <f t="shared" si="5"/>
        <v>0</v>
      </c>
      <c r="BP36" s="99" t="str">
        <f t="shared" si="6"/>
        <v/>
      </c>
      <c r="BQ36" s="70">
        <f t="shared" si="1"/>
        <v>94.895869328633665</v>
      </c>
      <c r="BR36" s="2"/>
      <c r="BS36" s="2"/>
      <c r="BT36" s="2"/>
      <c r="BU36" s="2"/>
      <c r="BV36" s="2"/>
      <c r="BW36" s="79" t="s">
        <v>68</v>
      </c>
      <c r="BX36" s="16">
        <v>70</v>
      </c>
    </row>
    <row r="37" spans="1:76" ht="14.15" customHeight="1" x14ac:dyDescent="0.6">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18"/>
      <c r="BA37" s="18"/>
      <c r="BB37" s="18"/>
      <c r="BC37" s="18"/>
      <c r="BD37" s="2"/>
      <c r="BE37" s="16">
        <v>87</v>
      </c>
      <c r="BF37" s="16">
        <v>100</v>
      </c>
      <c r="BG37" s="2"/>
      <c r="BH37" s="65">
        <v>31868</v>
      </c>
      <c r="BI37" s="65">
        <v>31958</v>
      </c>
      <c r="BJ37" s="64">
        <v>10</v>
      </c>
      <c r="BK37" s="66">
        <v>3.66</v>
      </c>
      <c r="BL37" s="86">
        <f t="shared" si="2"/>
        <v>36.6</v>
      </c>
      <c r="BM37" s="76">
        <f t="shared" si="3"/>
        <v>0</v>
      </c>
      <c r="BN37" s="77">
        <f t="shared" si="4"/>
        <v>0</v>
      </c>
      <c r="BO37" s="78">
        <f t="shared" si="5"/>
        <v>0</v>
      </c>
      <c r="BP37" s="99" t="str">
        <f t="shared" si="6"/>
        <v/>
      </c>
      <c r="BQ37" s="70">
        <f t="shared" si="1"/>
        <v>91.246028200609288</v>
      </c>
      <c r="BR37" s="2"/>
      <c r="BS37" s="2"/>
      <c r="BT37" s="2"/>
      <c r="BU37" s="2"/>
      <c r="BV37" s="2"/>
      <c r="BW37" s="79" t="s">
        <v>69</v>
      </c>
      <c r="BX37" s="16">
        <v>70</v>
      </c>
    </row>
    <row r="38" spans="1:76" ht="14.15" customHeight="1" x14ac:dyDescent="0.6">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18"/>
      <c r="BA38" s="18"/>
      <c r="BB38" s="18"/>
      <c r="BC38" s="18"/>
      <c r="BD38" s="2"/>
      <c r="BE38" s="16">
        <v>88</v>
      </c>
      <c r="BF38" s="16">
        <v>100</v>
      </c>
      <c r="BG38" s="2"/>
      <c r="BH38" s="65">
        <v>31959</v>
      </c>
      <c r="BI38" s="65">
        <v>32050</v>
      </c>
      <c r="BJ38" s="64">
        <v>10</v>
      </c>
      <c r="BK38" s="66">
        <v>4.5</v>
      </c>
      <c r="BL38" s="86">
        <f t="shared" si="2"/>
        <v>45</v>
      </c>
      <c r="BM38" s="76">
        <f t="shared" si="3"/>
        <v>0</v>
      </c>
      <c r="BN38" s="77">
        <f t="shared" si="4"/>
        <v>0</v>
      </c>
      <c r="BO38" s="78">
        <f t="shared" si="5"/>
        <v>0</v>
      </c>
      <c r="BP38" s="99" t="str">
        <f t="shared" si="6"/>
        <v/>
      </c>
      <c r="BQ38" s="70">
        <f t="shared" si="1"/>
        <v>87.736565577508927</v>
      </c>
      <c r="BR38" s="2"/>
      <c r="BS38" s="2"/>
      <c r="BT38" s="2"/>
      <c r="BU38" s="2"/>
      <c r="BV38" s="2"/>
      <c r="BW38" s="79" t="s">
        <v>70</v>
      </c>
      <c r="BX38" s="16">
        <v>80</v>
      </c>
    </row>
    <row r="39" spans="1:76" ht="14.15" customHeight="1" x14ac:dyDescent="0.6">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18"/>
      <c r="BA39" s="18"/>
      <c r="BB39" s="18"/>
      <c r="BC39" s="18"/>
      <c r="BD39" s="2"/>
      <c r="BE39" s="16">
        <v>89</v>
      </c>
      <c r="BF39" s="16">
        <v>100</v>
      </c>
      <c r="BG39" s="2"/>
      <c r="BH39" s="65">
        <v>32051</v>
      </c>
      <c r="BI39" s="65">
        <v>32126</v>
      </c>
      <c r="BJ39" s="64">
        <v>10</v>
      </c>
      <c r="BK39" s="66">
        <v>5.625</v>
      </c>
      <c r="BL39" s="86">
        <f t="shared" si="2"/>
        <v>56.25</v>
      </c>
      <c r="BM39" s="76">
        <f t="shared" si="3"/>
        <v>0</v>
      </c>
      <c r="BN39" s="77">
        <f t="shared" si="4"/>
        <v>0</v>
      </c>
      <c r="BO39" s="78">
        <f t="shared" si="5"/>
        <v>0</v>
      </c>
      <c r="BP39" s="99" t="str">
        <f t="shared" si="6"/>
        <v/>
      </c>
      <c r="BQ39" s="70">
        <f t="shared" si="1"/>
        <v>84.362082286066268</v>
      </c>
      <c r="BR39" s="2"/>
      <c r="BS39" s="2"/>
      <c r="BT39" s="2"/>
      <c r="BU39" s="2"/>
      <c r="BV39" s="2"/>
      <c r="BW39" s="79" t="s">
        <v>71</v>
      </c>
      <c r="BX39" s="16">
        <v>80</v>
      </c>
    </row>
    <row r="40" spans="1:76" ht="14.15" customHeight="1" x14ac:dyDescent="0.6">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18"/>
      <c r="BA40" s="18"/>
      <c r="BB40" s="18"/>
      <c r="BC40" s="18"/>
      <c r="BD40" s="2"/>
      <c r="BE40" s="16">
        <v>90</v>
      </c>
      <c r="BF40" s="16">
        <v>100</v>
      </c>
      <c r="BG40" s="2"/>
      <c r="BH40" s="65">
        <v>32127</v>
      </c>
      <c r="BI40" s="65">
        <v>32142</v>
      </c>
      <c r="BJ40" s="64">
        <v>10</v>
      </c>
      <c r="BK40" s="66">
        <v>6.47</v>
      </c>
      <c r="BL40" s="86">
        <f t="shared" si="2"/>
        <v>64.7</v>
      </c>
      <c r="BM40" s="76">
        <f t="shared" si="3"/>
        <v>0</v>
      </c>
      <c r="BN40" s="77">
        <f t="shared" si="4"/>
        <v>0</v>
      </c>
      <c r="BO40" s="78">
        <f t="shared" si="5"/>
        <v>0</v>
      </c>
      <c r="BP40" s="99" t="str">
        <f t="shared" si="6"/>
        <v/>
      </c>
      <c r="BQ40" s="70">
        <f t="shared" si="1"/>
        <v>81.117386813525258</v>
      </c>
      <c r="BR40" s="2"/>
      <c r="BS40" s="2"/>
      <c r="BT40" s="2"/>
      <c r="BU40" s="2"/>
      <c r="BV40" s="2"/>
      <c r="BW40" s="79" t="s">
        <v>72</v>
      </c>
      <c r="BX40" s="16">
        <v>80</v>
      </c>
    </row>
    <row r="41" spans="1:76" ht="14.15" customHeight="1" x14ac:dyDescent="0.6">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18"/>
      <c r="BA41" s="18"/>
      <c r="BB41" s="18"/>
      <c r="BC41" s="18"/>
      <c r="BD41" s="2"/>
      <c r="BE41" s="16">
        <v>91</v>
      </c>
      <c r="BF41" s="16">
        <v>100</v>
      </c>
      <c r="BG41" s="2"/>
      <c r="BH41" s="65">
        <v>32143</v>
      </c>
      <c r="BI41" s="65">
        <v>32202</v>
      </c>
      <c r="BJ41" s="64">
        <v>10</v>
      </c>
      <c r="BK41" s="66">
        <v>7.7649999999999997</v>
      </c>
      <c r="BL41" s="86">
        <f t="shared" si="2"/>
        <v>77.649999999999991</v>
      </c>
      <c r="BM41" s="76">
        <f t="shared" si="3"/>
        <v>0</v>
      </c>
      <c r="BN41" s="77">
        <f t="shared" si="4"/>
        <v>0</v>
      </c>
      <c r="BO41" s="78">
        <f t="shared" si="5"/>
        <v>0</v>
      </c>
      <c r="BP41" s="99" t="str">
        <f t="shared" si="6"/>
        <v/>
      </c>
      <c r="BQ41" s="70">
        <f t="shared" si="1"/>
        <v>77.99748732069736</v>
      </c>
      <c r="BR41" s="2"/>
      <c r="BS41" s="2"/>
      <c r="BT41" s="2"/>
      <c r="BU41" s="2"/>
      <c r="BV41" s="2"/>
      <c r="BW41" s="79" t="s">
        <v>73</v>
      </c>
      <c r="BX41" s="16">
        <v>90</v>
      </c>
    </row>
    <row r="42" spans="1:76" ht="14.15" customHeight="1" x14ac:dyDescent="0.6">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18"/>
      <c r="BA42" s="18"/>
      <c r="BB42" s="18"/>
      <c r="BC42" s="18"/>
      <c r="BD42" s="2"/>
      <c r="BE42" s="16">
        <v>92</v>
      </c>
      <c r="BF42" s="16">
        <v>100</v>
      </c>
      <c r="BG42" s="2"/>
      <c r="BH42" s="65">
        <v>32203</v>
      </c>
      <c r="BI42" s="65">
        <v>32508</v>
      </c>
      <c r="BJ42" s="64">
        <v>10</v>
      </c>
      <c r="BK42" s="66">
        <v>8</v>
      </c>
      <c r="BL42" s="86">
        <f t="shared" si="2"/>
        <v>80</v>
      </c>
      <c r="BM42" s="76">
        <f t="shared" si="3"/>
        <v>0</v>
      </c>
      <c r="BN42" s="77">
        <f t="shared" si="4"/>
        <v>0</v>
      </c>
      <c r="BO42" s="78">
        <f t="shared" si="5"/>
        <v>0</v>
      </c>
      <c r="BP42" s="99" t="str">
        <f t="shared" si="6"/>
        <v/>
      </c>
      <c r="BQ42" s="70">
        <f t="shared" si="1"/>
        <v>74.997583962208992</v>
      </c>
      <c r="BR42" s="2"/>
      <c r="BS42" s="2"/>
      <c r="BT42" s="2"/>
      <c r="BU42" s="2"/>
      <c r="BV42" s="2"/>
      <c r="BW42" s="79" t="s">
        <v>74</v>
      </c>
      <c r="BX42" s="16">
        <v>90</v>
      </c>
    </row>
    <row r="43" spans="1:76" ht="14.15" customHeight="1" x14ac:dyDescent="0.6">
      <c r="A43" s="2"/>
      <c r="B43" s="2"/>
      <c r="C43" s="2"/>
      <c r="D43" s="2"/>
      <c r="E43" s="2"/>
      <c r="F43" s="2"/>
      <c r="G43" s="2"/>
      <c r="H43" s="117"/>
      <c r="I43" s="118"/>
      <c r="J43" s="118"/>
      <c r="K43" s="118"/>
      <c r="L43" s="118"/>
      <c r="M43" s="118"/>
      <c r="N43" s="118"/>
      <c r="O43" s="118"/>
      <c r="P43" s="118"/>
      <c r="Q43" s="118"/>
      <c r="R43" s="118"/>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18"/>
      <c r="BA43" s="18"/>
      <c r="BB43" s="18"/>
      <c r="BC43" s="18"/>
      <c r="BD43" s="2"/>
      <c r="BE43" s="16">
        <v>93</v>
      </c>
      <c r="BF43" s="16">
        <v>100</v>
      </c>
      <c r="BG43" s="2"/>
      <c r="BH43" s="65">
        <v>32509</v>
      </c>
      <c r="BI43" s="65">
        <v>32689</v>
      </c>
      <c r="BJ43" s="64">
        <v>10</v>
      </c>
      <c r="BK43" s="66">
        <v>8.64</v>
      </c>
      <c r="BL43" s="86">
        <f t="shared" si="2"/>
        <v>86.4</v>
      </c>
      <c r="BM43" s="76">
        <f t="shared" si="3"/>
        <v>0</v>
      </c>
      <c r="BN43" s="77">
        <f t="shared" si="4"/>
        <v>0</v>
      </c>
      <c r="BO43" s="78">
        <f t="shared" si="5"/>
        <v>0</v>
      </c>
      <c r="BP43" s="99" t="str">
        <f t="shared" si="6"/>
        <v/>
      </c>
      <c r="BQ43" s="70">
        <f t="shared" si="1"/>
        <v>72.113061502124026</v>
      </c>
      <c r="BR43" s="2"/>
      <c r="BS43" s="2"/>
      <c r="BT43" s="2"/>
      <c r="BU43" s="2"/>
      <c r="BV43" s="2"/>
      <c r="BW43" s="79" t="s">
        <v>75</v>
      </c>
      <c r="BX43" s="16">
        <v>90</v>
      </c>
    </row>
    <row r="44" spans="1:76" ht="14.25" customHeight="1" x14ac:dyDescent="0.6">
      <c r="A44" s="2"/>
      <c r="B44" s="2"/>
      <c r="C44" s="2"/>
      <c r="D44" s="2"/>
      <c r="E44" s="2"/>
      <c r="F44" s="2"/>
      <c r="G44" s="2"/>
      <c r="H44" s="120"/>
      <c r="I44" s="121"/>
      <c r="J44" s="121"/>
      <c r="K44" s="121"/>
      <c r="L44" s="121"/>
      <c r="M44" s="121"/>
      <c r="N44" s="121"/>
      <c r="O44" s="121"/>
      <c r="P44" s="121"/>
      <c r="Q44" s="121"/>
      <c r="R44" s="121"/>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18"/>
      <c r="BA44" s="18"/>
      <c r="BB44" s="18"/>
      <c r="BC44" s="18"/>
      <c r="BD44" s="2"/>
      <c r="BE44" s="16">
        <v>94</v>
      </c>
      <c r="BF44" s="16">
        <v>100</v>
      </c>
      <c r="BG44" s="2"/>
      <c r="BH44" s="65">
        <v>32690</v>
      </c>
      <c r="BI44" s="65">
        <v>32845</v>
      </c>
      <c r="BJ44" s="64">
        <v>10</v>
      </c>
      <c r="BK44" s="66">
        <v>9.16</v>
      </c>
      <c r="BL44" s="86">
        <f t="shared" si="2"/>
        <v>91.6</v>
      </c>
      <c r="BM44" s="76">
        <f t="shared" si="3"/>
        <v>0</v>
      </c>
      <c r="BN44" s="77">
        <f t="shared" si="4"/>
        <v>0</v>
      </c>
      <c r="BO44" s="78">
        <f t="shared" si="5"/>
        <v>0</v>
      </c>
      <c r="BP44" s="99" t="str">
        <f t="shared" si="6"/>
        <v/>
      </c>
      <c r="BQ44" s="70">
        <f t="shared" si="1"/>
        <v>69.339482213580794</v>
      </c>
      <c r="BR44" s="2"/>
      <c r="BS44" s="2"/>
      <c r="BT44" s="2"/>
      <c r="BU44" s="2"/>
      <c r="BV44" s="2"/>
      <c r="BW44" s="79" t="s">
        <v>76</v>
      </c>
      <c r="BX44" s="16">
        <v>15</v>
      </c>
    </row>
    <row r="45" spans="1:76" ht="14.25" customHeight="1" x14ac:dyDescent="0.6">
      <c r="A45" s="2"/>
      <c r="B45" s="2"/>
      <c r="C45" s="2"/>
      <c r="D45" s="2"/>
      <c r="E45" s="2"/>
      <c r="F45" s="2"/>
      <c r="G45" s="2"/>
      <c r="H45" s="117"/>
      <c r="I45" s="118"/>
      <c r="J45" s="118"/>
      <c r="K45" s="118"/>
      <c r="L45" s="118"/>
      <c r="M45" s="118"/>
      <c r="N45" s="118"/>
      <c r="O45" s="118"/>
      <c r="P45" s="118"/>
      <c r="Q45" s="118"/>
      <c r="R45" s="118"/>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18"/>
      <c r="BA45" s="18"/>
      <c r="BB45" s="18"/>
      <c r="BC45" s="18"/>
      <c r="BD45" s="2"/>
      <c r="BE45" s="16">
        <v>95</v>
      </c>
      <c r="BF45" s="16">
        <v>100</v>
      </c>
      <c r="BG45" s="2"/>
      <c r="BH45" s="65">
        <v>32846</v>
      </c>
      <c r="BI45" s="65">
        <v>33192</v>
      </c>
      <c r="BJ45" s="64">
        <v>10</v>
      </c>
      <c r="BK45" s="66">
        <v>10.08</v>
      </c>
      <c r="BL45" s="86">
        <f t="shared" si="2"/>
        <v>100.8</v>
      </c>
      <c r="BM45" s="76">
        <f t="shared" si="3"/>
        <v>0</v>
      </c>
      <c r="BN45" s="77">
        <f t="shared" si="4"/>
        <v>0</v>
      </c>
      <c r="BO45" s="78">
        <f t="shared" si="5"/>
        <v>0</v>
      </c>
      <c r="BP45" s="99" t="str">
        <f t="shared" si="6"/>
        <v/>
      </c>
      <c r="BQ45" s="70">
        <f t="shared" si="1"/>
        <v>66.672579051519989</v>
      </c>
      <c r="BR45" s="2"/>
      <c r="BS45" s="2"/>
      <c r="BT45" s="2"/>
      <c r="BU45" s="2"/>
      <c r="BV45" s="2"/>
      <c r="BW45" s="79" t="s">
        <v>77</v>
      </c>
      <c r="BX45" s="16">
        <v>15</v>
      </c>
    </row>
    <row r="46" spans="1:76" ht="14.25" customHeight="1" x14ac:dyDescent="0.6">
      <c r="A46" s="2"/>
      <c r="B46" s="2"/>
      <c r="C46" s="2"/>
      <c r="D46" s="2"/>
      <c r="E46" s="2"/>
      <c r="F46" s="2"/>
      <c r="G46" s="2"/>
      <c r="H46" s="137"/>
      <c r="I46" s="138"/>
      <c r="J46" s="138"/>
      <c r="K46" s="138"/>
      <c r="L46" s="138"/>
      <c r="M46" s="138"/>
      <c r="N46" s="138"/>
      <c r="O46" s="138"/>
      <c r="P46" s="138"/>
      <c r="Q46" s="138"/>
      <c r="R46" s="138"/>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18"/>
      <c r="BA46" s="18"/>
      <c r="BB46" s="18"/>
      <c r="BC46" s="18"/>
      <c r="BD46" s="2"/>
      <c r="BE46" s="16">
        <v>96</v>
      </c>
      <c r="BF46" s="16">
        <v>100</v>
      </c>
      <c r="BG46" s="2"/>
      <c r="BH46" s="65">
        <v>33193</v>
      </c>
      <c r="BI46" s="65">
        <v>33552</v>
      </c>
      <c r="BJ46" s="64">
        <v>10</v>
      </c>
      <c r="BK46" s="66">
        <v>11.9</v>
      </c>
      <c r="BL46" s="86">
        <f t="shared" si="2"/>
        <v>119</v>
      </c>
      <c r="BM46" s="76">
        <f t="shared" si="3"/>
        <v>0</v>
      </c>
      <c r="BN46" s="77">
        <f t="shared" si="4"/>
        <v>0</v>
      </c>
      <c r="BO46" s="78">
        <f t="shared" si="5"/>
        <v>0</v>
      </c>
      <c r="BP46" s="99" t="str">
        <f t="shared" si="6"/>
        <v/>
      </c>
      <c r="BQ46" s="70">
        <f t="shared" si="1"/>
        <v>64.108249087999994</v>
      </c>
      <c r="BR46" s="2"/>
      <c r="BS46" s="2"/>
      <c r="BT46" s="2"/>
      <c r="BU46" s="2"/>
      <c r="BV46" s="2"/>
      <c r="BW46" s="79" t="s">
        <v>78</v>
      </c>
      <c r="BX46" s="16">
        <v>15</v>
      </c>
    </row>
    <row r="47" spans="1:76" ht="14.25" customHeight="1" x14ac:dyDescent="0.6">
      <c r="A47" s="2"/>
      <c r="B47" s="2"/>
      <c r="C47" s="2"/>
      <c r="D47" s="2"/>
      <c r="E47" s="2"/>
      <c r="F47" s="2"/>
      <c r="G47" s="2"/>
      <c r="H47" s="140"/>
      <c r="I47" s="141"/>
      <c r="J47" s="141"/>
      <c r="K47" s="141"/>
      <c r="L47" s="141"/>
      <c r="M47" s="141"/>
      <c r="N47" s="141"/>
      <c r="O47" s="141"/>
      <c r="P47" s="141"/>
      <c r="Q47" s="141"/>
      <c r="R47" s="14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18"/>
      <c r="BA47" s="18"/>
      <c r="BB47" s="18"/>
      <c r="BC47" s="18"/>
      <c r="BD47" s="2"/>
      <c r="BE47" s="16">
        <v>97</v>
      </c>
      <c r="BF47" s="16">
        <v>100</v>
      </c>
      <c r="BG47" s="2"/>
      <c r="BH47" s="65">
        <v>33553</v>
      </c>
      <c r="BI47" s="65">
        <v>33969</v>
      </c>
      <c r="BJ47" s="64">
        <v>10</v>
      </c>
      <c r="BK47" s="66">
        <v>13.33</v>
      </c>
      <c r="BL47" s="86">
        <f t="shared" si="2"/>
        <v>133.30000000000001</v>
      </c>
      <c r="BM47" s="76">
        <f t="shared" si="3"/>
        <v>0</v>
      </c>
      <c r="BN47" s="77">
        <f t="shared" si="4"/>
        <v>0</v>
      </c>
      <c r="BO47" s="78">
        <f t="shared" si="5"/>
        <v>0</v>
      </c>
      <c r="BP47" s="99" t="str">
        <f t="shared" si="6"/>
        <v/>
      </c>
      <c r="BQ47" s="70">
        <f t="shared" si="1"/>
        <v>61.642547199999996</v>
      </c>
      <c r="BR47" s="2"/>
      <c r="BS47" s="69"/>
      <c r="BT47" s="2"/>
      <c r="BU47" s="2"/>
      <c r="BV47" s="2"/>
      <c r="BW47" s="79" t="s">
        <v>79</v>
      </c>
      <c r="BX47" s="16">
        <v>25</v>
      </c>
    </row>
    <row r="48" spans="1:76" ht="14.25" customHeight="1" x14ac:dyDescent="0.6">
      <c r="A48" s="2"/>
      <c r="B48" s="2"/>
      <c r="C48" s="2"/>
      <c r="D48" s="2"/>
      <c r="E48" s="2"/>
      <c r="F48" s="2"/>
      <c r="G48" s="2"/>
      <c r="H48" s="117"/>
      <c r="I48" s="118"/>
      <c r="J48" s="118"/>
      <c r="K48" s="118"/>
      <c r="L48" s="118"/>
      <c r="M48" s="118"/>
      <c r="N48" s="118"/>
      <c r="O48" s="118"/>
      <c r="P48" s="118"/>
      <c r="Q48" s="118"/>
      <c r="R48" s="119"/>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18"/>
      <c r="BA48" s="18"/>
      <c r="BB48" s="18"/>
      <c r="BC48" s="18"/>
      <c r="BD48" s="2"/>
      <c r="BE48" s="16">
        <v>98</v>
      </c>
      <c r="BF48" s="16">
        <v>100</v>
      </c>
      <c r="BG48" s="2"/>
      <c r="BH48" s="65">
        <v>33970</v>
      </c>
      <c r="BI48" s="65">
        <v>34334</v>
      </c>
      <c r="BJ48" s="64">
        <v>10</v>
      </c>
      <c r="BK48" s="67">
        <v>14.27</v>
      </c>
      <c r="BL48" s="86">
        <f t="shared" si="2"/>
        <v>142.69999999999999</v>
      </c>
      <c r="BM48" s="76">
        <f t="shared" si="3"/>
        <v>0</v>
      </c>
      <c r="BN48" s="77">
        <f t="shared" si="4"/>
        <v>0</v>
      </c>
      <c r="BO48" s="78">
        <f t="shared" si="5"/>
        <v>0</v>
      </c>
      <c r="BP48" s="99" t="str">
        <f t="shared" si="6"/>
        <v/>
      </c>
      <c r="BQ48" s="70">
        <f t="shared" si="1"/>
        <v>59.271679999999996</v>
      </c>
      <c r="BR48" s="2"/>
      <c r="BS48" s="2"/>
      <c r="BT48" s="2"/>
      <c r="BU48" s="2"/>
      <c r="BV48" s="2"/>
      <c r="BW48" s="79" t="s">
        <v>80</v>
      </c>
      <c r="BX48" s="16">
        <v>25</v>
      </c>
    </row>
    <row r="49" spans="1:76" ht="14.25" customHeight="1" x14ac:dyDescent="0.6">
      <c r="A49" s="2"/>
      <c r="B49" s="2"/>
      <c r="C49" s="2"/>
      <c r="D49" s="2"/>
      <c r="E49" s="2"/>
      <c r="F49" s="2"/>
      <c r="G49" s="2"/>
      <c r="H49" s="117"/>
      <c r="I49" s="118"/>
      <c r="J49" s="118"/>
      <c r="K49" s="118"/>
      <c r="L49" s="118"/>
      <c r="M49" s="118"/>
      <c r="N49" s="118"/>
      <c r="O49" s="118"/>
      <c r="P49" s="118"/>
      <c r="Q49" s="118"/>
      <c r="R49" s="118"/>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18"/>
      <c r="BA49" s="18"/>
      <c r="BB49" s="18"/>
      <c r="BC49" s="18"/>
      <c r="BD49" s="2"/>
      <c r="BE49" s="16">
        <v>99</v>
      </c>
      <c r="BF49" s="16">
        <v>100</v>
      </c>
      <c r="BG49" s="2"/>
      <c r="BH49" s="65">
        <v>34335</v>
      </c>
      <c r="BI49" s="65">
        <v>34699</v>
      </c>
      <c r="BJ49" s="64">
        <v>10</v>
      </c>
      <c r="BK49" s="67">
        <v>15.27</v>
      </c>
      <c r="BL49" s="86">
        <f t="shared" si="2"/>
        <v>152.69999999999999</v>
      </c>
      <c r="BM49" s="76">
        <f t="shared" si="3"/>
        <v>0</v>
      </c>
      <c r="BN49" s="77">
        <f t="shared" si="4"/>
        <v>0</v>
      </c>
      <c r="BO49" s="78">
        <f t="shared" si="5"/>
        <v>0</v>
      </c>
      <c r="BP49" s="99" t="str">
        <f t="shared" si="6"/>
        <v/>
      </c>
      <c r="BQ49" s="70">
        <f>BQ50*1.04</f>
        <v>56.991999999999997</v>
      </c>
      <c r="BR49" s="2"/>
      <c r="BS49" s="2"/>
      <c r="BT49" s="2"/>
      <c r="BU49" s="2"/>
      <c r="BV49" s="2"/>
      <c r="BW49" s="79" t="s">
        <v>81</v>
      </c>
      <c r="BX49" s="16">
        <v>25</v>
      </c>
    </row>
    <row r="50" spans="1:76" ht="14.25" customHeight="1" x14ac:dyDescent="0.6">
      <c r="A50" s="2"/>
      <c r="B50" s="2"/>
      <c r="C50" s="2"/>
      <c r="D50" s="2"/>
      <c r="E50" s="2"/>
      <c r="F50" s="2"/>
      <c r="G50" s="2"/>
      <c r="H50" s="117"/>
      <c r="I50" s="118"/>
      <c r="J50" s="118"/>
      <c r="K50" s="118"/>
      <c r="L50" s="118"/>
      <c r="M50" s="118"/>
      <c r="N50" s="118"/>
      <c r="O50" s="118"/>
      <c r="P50" s="118"/>
      <c r="Q50" s="118"/>
      <c r="R50" s="118"/>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18"/>
      <c r="BA50" s="18"/>
      <c r="BB50" s="18"/>
      <c r="BC50" s="18"/>
      <c r="BD50" s="2"/>
      <c r="BE50" s="16">
        <v>100</v>
      </c>
      <c r="BF50" s="16">
        <v>100</v>
      </c>
      <c r="BG50" s="2"/>
      <c r="BH50" s="65">
        <v>34700</v>
      </c>
      <c r="BI50" s="65">
        <v>34789</v>
      </c>
      <c r="BJ50" s="64">
        <v>10</v>
      </c>
      <c r="BK50" s="67">
        <v>16.34</v>
      </c>
      <c r="BL50" s="86">
        <f t="shared" si="2"/>
        <v>163.4</v>
      </c>
      <c r="BM50" s="76">
        <f t="shared" si="3"/>
        <v>0</v>
      </c>
      <c r="BN50" s="77">
        <f t="shared" si="4"/>
        <v>0</v>
      </c>
      <c r="BO50" s="78">
        <f t="shared" si="5"/>
        <v>0</v>
      </c>
      <c r="BP50" s="99" t="str">
        <f t="shared" si="6"/>
        <v/>
      </c>
      <c r="BQ50" s="71">
        <v>54.8</v>
      </c>
      <c r="BR50" s="2"/>
      <c r="BS50" s="2"/>
      <c r="BT50" s="2"/>
      <c r="BU50" s="2"/>
      <c r="BV50" s="2"/>
      <c r="BW50" s="79" t="s">
        <v>82</v>
      </c>
      <c r="BX50" s="16">
        <v>35</v>
      </c>
    </row>
    <row r="51" spans="1:76" ht="14.25" customHeight="1" x14ac:dyDescent="0.6">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18"/>
      <c r="BA51" s="18"/>
      <c r="BB51" s="18"/>
      <c r="BC51" s="18"/>
      <c r="BD51" s="2"/>
      <c r="BE51" s="2"/>
      <c r="BF51" s="2"/>
      <c r="BG51" s="2"/>
      <c r="BH51" s="65">
        <v>34790</v>
      </c>
      <c r="BI51" s="65">
        <v>35036</v>
      </c>
      <c r="BJ51" s="64">
        <v>10</v>
      </c>
      <c r="BK51" s="67">
        <v>18.3</v>
      </c>
      <c r="BL51" s="86">
        <f t="shared" si="2"/>
        <v>183</v>
      </c>
      <c r="BM51" s="76">
        <f t="shared" si="3"/>
        <v>0</v>
      </c>
      <c r="BN51" s="77">
        <f t="shared" si="4"/>
        <v>0</v>
      </c>
      <c r="BO51" s="78">
        <f t="shared" si="5"/>
        <v>0</v>
      </c>
      <c r="BP51" s="99" t="str">
        <f t="shared" si="6"/>
        <v/>
      </c>
      <c r="BQ51" s="71">
        <v>52.59</v>
      </c>
      <c r="BR51" s="2"/>
      <c r="BS51" s="2"/>
      <c r="BT51" s="2"/>
      <c r="BU51" s="2"/>
      <c r="BV51" s="2"/>
      <c r="BW51" s="79" t="s">
        <v>83</v>
      </c>
      <c r="BX51" s="16">
        <v>35</v>
      </c>
    </row>
    <row r="52" spans="1:76" ht="14.25" customHeight="1" x14ac:dyDescent="0.6">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18"/>
      <c r="BA52" s="18"/>
      <c r="BB52" s="18"/>
      <c r="BC52" s="18"/>
      <c r="BD52" s="2"/>
      <c r="BE52" s="2"/>
      <c r="BF52" s="2"/>
      <c r="BG52" s="2"/>
      <c r="BH52" s="65">
        <v>35037</v>
      </c>
      <c r="BI52" s="65">
        <v>35155</v>
      </c>
      <c r="BJ52" s="64">
        <v>10</v>
      </c>
      <c r="BK52" s="67">
        <v>20.149999999999999</v>
      </c>
      <c r="BL52" s="86">
        <f t="shared" si="2"/>
        <v>201.5</v>
      </c>
      <c r="BM52" s="76">
        <f t="shared" si="3"/>
        <v>0</v>
      </c>
      <c r="BN52" s="77">
        <f t="shared" si="4"/>
        <v>0</v>
      </c>
      <c r="BO52" s="78">
        <f t="shared" si="5"/>
        <v>0</v>
      </c>
      <c r="BP52" s="99" t="str">
        <f t="shared" si="6"/>
        <v/>
      </c>
      <c r="BQ52" s="71">
        <v>50.57</v>
      </c>
      <c r="BR52" s="2"/>
      <c r="BS52" s="2"/>
      <c r="BT52" s="2"/>
      <c r="BU52" s="2"/>
      <c r="BV52" s="2"/>
      <c r="BW52" s="79" t="s">
        <v>84</v>
      </c>
      <c r="BX52" s="16">
        <v>35</v>
      </c>
    </row>
    <row r="53" spans="1:76" ht="14.25" customHeight="1" x14ac:dyDescent="0.6">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18"/>
      <c r="BA53" s="18"/>
      <c r="BB53" s="18"/>
      <c r="BC53" s="18"/>
      <c r="BD53" s="2"/>
      <c r="BE53" s="2"/>
      <c r="BF53" s="2"/>
      <c r="BG53" s="2"/>
      <c r="BH53" s="65">
        <v>35156</v>
      </c>
      <c r="BI53" s="65">
        <v>35401</v>
      </c>
      <c r="BJ53" s="64">
        <v>10</v>
      </c>
      <c r="BK53" s="67">
        <v>22.6</v>
      </c>
      <c r="BL53" s="86">
        <f t="shared" si="2"/>
        <v>226</v>
      </c>
      <c r="BM53" s="76">
        <f t="shared" si="3"/>
        <v>0</v>
      </c>
      <c r="BN53" s="77">
        <f t="shared" si="4"/>
        <v>0</v>
      </c>
      <c r="BO53" s="78">
        <f t="shared" si="5"/>
        <v>0</v>
      </c>
      <c r="BP53" s="99" t="str">
        <f t="shared" si="6"/>
        <v/>
      </c>
      <c r="BQ53" s="71">
        <v>50.57</v>
      </c>
      <c r="BR53" s="2"/>
      <c r="BS53" s="2"/>
      <c r="BT53" s="2"/>
      <c r="BU53" s="2"/>
      <c r="BV53" s="2"/>
      <c r="BW53" s="79" t="s">
        <v>85</v>
      </c>
      <c r="BX53" s="16">
        <v>45</v>
      </c>
    </row>
    <row r="54" spans="1:76" ht="14.25" customHeight="1" x14ac:dyDescent="0.6">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18"/>
      <c r="BA54" s="18"/>
      <c r="BB54" s="18"/>
      <c r="BC54" s="18"/>
      <c r="BD54" s="2"/>
      <c r="BE54" s="2"/>
      <c r="BF54" s="2"/>
      <c r="BG54" s="2"/>
      <c r="BH54" s="65">
        <v>35402</v>
      </c>
      <c r="BI54" s="65">
        <v>35430</v>
      </c>
      <c r="BJ54" s="64">
        <v>10</v>
      </c>
      <c r="BK54" s="67">
        <v>26.45</v>
      </c>
      <c r="BL54" s="86">
        <f t="shared" si="2"/>
        <v>264.5</v>
      </c>
      <c r="BM54" s="76">
        <f t="shared" si="3"/>
        <v>0</v>
      </c>
      <c r="BN54" s="77">
        <f t="shared" si="4"/>
        <v>0</v>
      </c>
      <c r="BO54" s="78">
        <f t="shared" si="5"/>
        <v>0</v>
      </c>
      <c r="BP54" s="99" t="str">
        <f t="shared" si="6"/>
        <v/>
      </c>
      <c r="BQ54" s="71">
        <v>48.67</v>
      </c>
      <c r="BR54" s="2"/>
      <c r="BS54" s="2"/>
      <c r="BT54" s="2"/>
      <c r="BU54" s="2"/>
      <c r="BV54" s="2"/>
      <c r="BW54" s="79" t="s">
        <v>86</v>
      </c>
      <c r="BX54" s="16">
        <v>45</v>
      </c>
    </row>
    <row r="55" spans="1:76" ht="14.25" customHeight="1" x14ac:dyDescent="0.6">
      <c r="A55" s="2"/>
      <c r="B55" s="2"/>
      <c r="C55" s="2"/>
      <c r="D55" s="2"/>
      <c r="E55" s="2"/>
      <c r="F55" s="2"/>
      <c r="G55" s="2"/>
      <c r="H55" s="2"/>
      <c r="I55" s="2"/>
      <c r="J55" s="117"/>
      <c r="K55" s="118"/>
      <c r="L55" s="118"/>
      <c r="M55" s="118"/>
      <c r="N55" s="118"/>
      <c r="O55" s="118"/>
      <c r="P55" s="118"/>
      <c r="Q55" s="118"/>
      <c r="R55" s="118"/>
      <c r="S55" s="119"/>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7"/>
      <c r="BA55" s="18"/>
      <c r="BB55" s="18"/>
      <c r="BC55" s="18"/>
      <c r="BD55" s="2"/>
      <c r="BE55" s="2"/>
      <c r="BF55" s="2"/>
      <c r="BG55" s="2"/>
      <c r="BH55" s="63">
        <v>35431</v>
      </c>
      <c r="BI55" s="63">
        <v>35611</v>
      </c>
      <c r="BJ55" s="64">
        <v>10</v>
      </c>
      <c r="BK55" s="68">
        <v>26.45</v>
      </c>
      <c r="BL55" s="86">
        <f t="shared" si="2"/>
        <v>264.5</v>
      </c>
      <c r="BM55" s="76">
        <f t="shared" si="3"/>
        <v>0</v>
      </c>
      <c r="BN55" s="77">
        <f t="shared" si="4"/>
        <v>0</v>
      </c>
      <c r="BO55" s="78">
        <f t="shared" si="5"/>
        <v>0</v>
      </c>
      <c r="BP55" s="99" t="str">
        <f t="shared" si="6"/>
        <v/>
      </c>
      <c r="BQ55" s="71">
        <v>48.67</v>
      </c>
      <c r="BR55" s="2"/>
      <c r="BS55" s="2"/>
      <c r="BT55" s="2"/>
      <c r="BU55" s="2"/>
      <c r="BV55" s="2"/>
      <c r="BW55" s="79" t="s">
        <v>87</v>
      </c>
      <c r="BX55" s="16">
        <v>45</v>
      </c>
    </row>
    <row r="56" spans="1:76" ht="14.25" customHeight="1" x14ac:dyDescent="0.6">
      <c r="A56" s="2"/>
      <c r="B56" s="2"/>
      <c r="C56" s="2"/>
      <c r="D56" s="2"/>
      <c r="E56" s="2"/>
      <c r="F56" s="2"/>
      <c r="G56" s="2"/>
      <c r="H56" s="2"/>
      <c r="I56" s="2"/>
      <c r="J56" s="120"/>
      <c r="K56" s="121"/>
      <c r="L56" s="121"/>
      <c r="M56" s="121"/>
      <c r="N56" s="121"/>
      <c r="O56" s="121"/>
      <c r="P56" s="121"/>
      <c r="Q56" s="121"/>
      <c r="R56" s="121"/>
      <c r="S56" s="12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136" t="s">
        <v>18</v>
      </c>
      <c r="AW56" s="136"/>
      <c r="AX56" s="136"/>
      <c r="AY56" s="136"/>
      <c r="AZ56" s="136"/>
      <c r="BA56" s="136"/>
      <c r="BB56" s="136"/>
      <c r="BC56" s="136"/>
      <c r="BD56" s="136"/>
      <c r="BE56" s="136"/>
      <c r="BF56" s="2"/>
      <c r="BG56" s="2"/>
      <c r="BH56" s="63">
        <v>35612</v>
      </c>
      <c r="BI56" s="63">
        <v>35795</v>
      </c>
      <c r="BJ56" s="64">
        <v>15</v>
      </c>
      <c r="BK56" s="68">
        <v>26.45</v>
      </c>
      <c r="BL56" s="86">
        <f t="shared" si="2"/>
        <v>396.75</v>
      </c>
      <c r="BM56" s="76">
        <f t="shared" si="3"/>
        <v>0</v>
      </c>
      <c r="BN56" s="77">
        <f t="shared" si="4"/>
        <v>0</v>
      </c>
      <c r="BO56" s="78">
        <f t="shared" si="5"/>
        <v>0</v>
      </c>
      <c r="BP56" s="99" t="str">
        <f t="shared" si="6"/>
        <v/>
      </c>
      <c r="BQ56" s="71">
        <v>46.8</v>
      </c>
      <c r="BR56" s="2"/>
      <c r="BS56" s="2"/>
      <c r="BT56" s="2"/>
      <c r="BU56" s="2"/>
      <c r="BV56" s="2"/>
      <c r="BW56" s="79" t="s">
        <v>88</v>
      </c>
      <c r="BX56" s="16">
        <v>55</v>
      </c>
    </row>
    <row r="57" spans="1:76" ht="14.25" customHeight="1" x14ac:dyDescent="0.6">
      <c r="A57" s="2"/>
      <c r="B57" s="2"/>
      <c r="C57" s="2"/>
      <c r="D57" s="2"/>
      <c r="E57" s="2"/>
      <c r="F57" s="2"/>
      <c r="G57" s="2"/>
      <c r="H57" s="2"/>
      <c r="I57" s="2"/>
      <c r="J57" s="117"/>
      <c r="K57" s="118"/>
      <c r="L57" s="118"/>
      <c r="M57" s="118"/>
      <c r="N57" s="118"/>
      <c r="O57" s="118"/>
      <c r="P57" s="118"/>
      <c r="Q57" s="118"/>
      <c r="R57" s="118"/>
      <c r="S57" s="119"/>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04" t="s">
        <v>14</v>
      </c>
      <c r="AW57" s="204"/>
      <c r="AX57" s="204"/>
      <c r="AY57" s="204"/>
      <c r="AZ57" s="204"/>
      <c r="BA57" s="204"/>
      <c r="BB57" s="204"/>
      <c r="BC57" s="148" t="s">
        <v>34</v>
      </c>
      <c r="BD57" s="148"/>
      <c r="BE57" s="148"/>
      <c r="BF57" s="2"/>
      <c r="BG57" s="2"/>
      <c r="BH57" s="63">
        <v>35796</v>
      </c>
      <c r="BI57" s="63">
        <v>35976</v>
      </c>
      <c r="BJ57" s="64">
        <v>15</v>
      </c>
      <c r="BK57" s="68">
        <v>30.2</v>
      </c>
      <c r="BL57" s="86">
        <f t="shared" si="2"/>
        <v>453</v>
      </c>
      <c r="BM57" s="76">
        <f t="shared" si="3"/>
        <v>0</v>
      </c>
      <c r="BN57" s="77">
        <f t="shared" si="4"/>
        <v>0</v>
      </c>
      <c r="BO57" s="78">
        <f t="shared" si="5"/>
        <v>0</v>
      </c>
      <c r="BP57" s="99" t="str">
        <f t="shared" si="6"/>
        <v/>
      </c>
      <c r="BQ57" s="71">
        <v>46.8</v>
      </c>
      <c r="BR57" s="2"/>
      <c r="BS57" s="2"/>
      <c r="BT57" s="2"/>
      <c r="BU57" s="2"/>
      <c r="BV57" s="2"/>
      <c r="BW57" s="79" t="s">
        <v>89</v>
      </c>
      <c r="BX57" s="16">
        <v>55</v>
      </c>
    </row>
    <row r="58" spans="1:76" ht="14.25" customHeight="1" x14ac:dyDescent="0.6">
      <c r="A58" s="2"/>
      <c r="B58" s="2"/>
      <c r="C58" s="2"/>
      <c r="D58" s="2"/>
      <c r="E58" s="2"/>
      <c r="F58" s="2"/>
      <c r="G58" s="2"/>
      <c r="H58" s="2"/>
      <c r="I58" s="2"/>
      <c r="J58" s="137"/>
      <c r="K58" s="138"/>
      <c r="L58" s="138"/>
      <c r="M58" s="138"/>
      <c r="N58" s="138"/>
      <c r="O58" s="138"/>
      <c r="P58" s="138"/>
      <c r="Q58" s="138"/>
      <c r="R58" s="138"/>
      <c r="S58" s="139"/>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143" t="s">
        <v>15</v>
      </c>
      <c r="AW58" s="143"/>
      <c r="AX58" s="143"/>
      <c r="AY58" s="143"/>
      <c r="AZ58" s="143"/>
      <c r="BA58" s="143"/>
      <c r="BB58" s="143"/>
      <c r="BC58" s="134" t="s">
        <v>19</v>
      </c>
      <c r="BD58" s="134"/>
      <c r="BE58" s="134"/>
      <c r="BF58" s="2"/>
      <c r="BG58" s="2"/>
      <c r="BH58" s="63">
        <v>35977</v>
      </c>
      <c r="BI58" s="63">
        <v>36131</v>
      </c>
      <c r="BJ58" s="64">
        <v>16</v>
      </c>
      <c r="BK58" s="68">
        <v>30.2</v>
      </c>
      <c r="BL58" s="86">
        <f t="shared" si="2"/>
        <v>483.2</v>
      </c>
      <c r="BM58" s="76">
        <f t="shared" si="3"/>
        <v>0</v>
      </c>
      <c r="BN58" s="77">
        <f t="shared" si="4"/>
        <v>0</v>
      </c>
      <c r="BO58" s="78">
        <f t="shared" si="5"/>
        <v>0</v>
      </c>
      <c r="BP58" s="99" t="str">
        <f t="shared" si="6"/>
        <v/>
      </c>
      <c r="BQ58" s="71">
        <v>45.24</v>
      </c>
      <c r="BR58" s="2"/>
      <c r="BS58" s="2"/>
      <c r="BT58" s="2"/>
      <c r="BU58" s="2"/>
      <c r="BV58" s="2"/>
      <c r="BW58" s="79" t="s">
        <v>90</v>
      </c>
      <c r="BX58" s="16">
        <v>55</v>
      </c>
    </row>
    <row r="59" spans="1:76" ht="14.25" customHeight="1" x14ac:dyDescent="0.6">
      <c r="A59" s="2"/>
      <c r="B59" s="2"/>
      <c r="C59" s="2"/>
      <c r="D59" s="2"/>
      <c r="E59" s="2"/>
      <c r="F59" s="2"/>
      <c r="G59" s="2"/>
      <c r="H59" s="2"/>
      <c r="I59" s="2"/>
      <c r="J59" s="140"/>
      <c r="K59" s="141"/>
      <c r="L59" s="141"/>
      <c r="M59" s="141"/>
      <c r="N59" s="141"/>
      <c r="O59" s="141"/>
      <c r="P59" s="141"/>
      <c r="Q59" s="141"/>
      <c r="R59" s="141"/>
      <c r="S59" s="14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143" t="s">
        <v>16</v>
      </c>
      <c r="AW59" s="143"/>
      <c r="AX59" s="143"/>
      <c r="AY59" s="143"/>
      <c r="AZ59" s="143"/>
      <c r="BA59" s="143"/>
      <c r="BB59" s="143"/>
      <c r="BC59" s="134" t="s">
        <v>21</v>
      </c>
      <c r="BD59" s="134"/>
      <c r="BE59" s="134"/>
      <c r="BF59" s="2"/>
      <c r="BG59" s="2"/>
      <c r="BH59" s="63">
        <v>36132</v>
      </c>
      <c r="BI59" s="63">
        <v>36160</v>
      </c>
      <c r="BJ59" s="64">
        <v>16</v>
      </c>
      <c r="BK59" s="68">
        <v>34.450000000000003</v>
      </c>
      <c r="BL59" s="86">
        <f t="shared" si="2"/>
        <v>551.20000000000005</v>
      </c>
      <c r="BM59" s="76">
        <f t="shared" si="3"/>
        <v>0</v>
      </c>
      <c r="BN59" s="77">
        <f t="shared" si="4"/>
        <v>0</v>
      </c>
      <c r="BO59" s="78">
        <f t="shared" si="5"/>
        <v>0</v>
      </c>
      <c r="BP59" s="99" t="str">
        <f t="shared" si="6"/>
        <v/>
      </c>
      <c r="BQ59" s="71">
        <v>45.24</v>
      </c>
      <c r="BR59" s="2"/>
      <c r="BS59" s="2"/>
      <c r="BT59" s="2"/>
      <c r="BU59" s="2"/>
      <c r="BV59" s="2"/>
      <c r="BW59" s="79" t="s">
        <v>91</v>
      </c>
      <c r="BX59" s="16">
        <v>65</v>
      </c>
    </row>
    <row r="60" spans="1:76" ht="14.25" customHeight="1" x14ac:dyDescent="0.6">
      <c r="A60" s="2"/>
      <c r="B60" s="2"/>
      <c r="C60" s="2"/>
      <c r="D60" s="2"/>
      <c r="E60" s="2"/>
      <c r="F60" s="2"/>
      <c r="G60" s="2"/>
      <c r="H60" s="2"/>
      <c r="I60" s="2"/>
      <c r="J60" s="117"/>
      <c r="K60" s="118"/>
      <c r="L60" s="118"/>
      <c r="M60" s="118"/>
      <c r="N60" s="118"/>
      <c r="O60" s="118"/>
      <c r="P60" s="118"/>
      <c r="Q60" s="118"/>
      <c r="R60" s="118"/>
      <c r="S60" s="119"/>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143" t="s">
        <v>17</v>
      </c>
      <c r="AW60" s="143"/>
      <c r="AX60" s="143"/>
      <c r="AY60" s="143"/>
      <c r="AZ60" s="143"/>
      <c r="BA60" s="143"/>
      <c r="BB60" s="143"/>
      <c r="BC60" s="134" t="s">
        <v>20</v>
      </c>
      <c r="BD60" s="134"/>
      <c r="BE60" s="134"/>
      <c r="BF60" s="2"/>
      <c r="BG60" s="2"/>
      <c r="BH60" s="63">
        <v>36161</v>
      </c>
      <c r="BI60" s="63">
        <v>36341</v>
      </c>
      <c r="BJ60" s="64">
        <v>16</v>
      </c>
      <c r="BK60" s="68">
        <v>34.450000000000003</v>
      </c>
      <c r="BL60" s="86">
        <f t="shared" si="2"/>
        <v>551.20000000000005</v>
      </c>
      <c r="BM60" s="76">
        <f t="shared" si="3"/>
        <v>0</v>
      </c>
      <c r="BN60" s="77">
        <f t="shared" si="4"/>
        <v>0</v>
      </c>
      <c r="BO60" s="78">
        <f t="shared" si="5"/>
        <v>0</v>
      </c>
      <c r="BP60" s="99" t="str">
        <f t="shared" si="6"/>
        <v/>
      </c>
      <c r="BQ60" s="71">
        <v>43.65</v>
      </c>
      <c r="BR60" s="2"/>
      <c r="BS60" s="2"/>
      <c r="BT60" s="2"/>
      <c r="BU60" s="2"/>
      <c r="BV60" s="2"/>
      <c r="BW60" s="79" t="s">
        <v>92</v>
      </c>
      <c r="BX60" s="16">
        <v>65</v>
      </c>
    </row>
    <row r="61" spans="1:76" ht="14.25" customHeight="1" x14ac:dyDescent="0.6">
      <c r="A61" s="2"/>
      <c r="B61" s="2"/>
      <c r="C61" s="2"/>
      <c r="D61" s="2"/>
      <c r="E61" s="2"/>
      <c r="F61" s="2"/>
      <c r="G61" s="2"/>
      <c r="H61" s="2"/>
      <c r="I61" s="2"/>
      <c r="J61" s="117"/>
      <c r="K61" s="118"/>
      <c r="L61" s="118"/>
      <c r="M61" s="118"/>
      <c r="N61" s="118"/>
      <c r="O61" s="118"/>
      <c r="P61" s="118"/>
      <c r="Q61" s="118"/>
      <c r="R61" s="118"/>
      <c r="S61" s="119"/>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18"/>
      <c r="BA61" s="18"/>
      <c r="BB61" s="18"/>
      <c r="BC61" s="18"/>
      <c r="BD61" s="2"/>
      <c r="BE61" s="2"/>
      <c r="BF61" s="2"/>
      <c r="BG61" s="2"/>
      <c r="BH61" s="63">
        <v>36342</v>
      </c>
      <c r="BI61" s="63">
        <v>36525</v>
      </c>
      <c r="BJ61" s="64">
        <v>17</v>
      </c>
      <c r="BK61" s="68">
        <v>34.450000000000003</v>
      </c>
      <c r="BL61" s="86">
        <f t="shared" si="2"/>
        <v>585.65000000000009</v>
      </c>
      <c r="BM61" s="76">
        <f t="shared" si="3"/>
        <v>0</v>
      </c>
      <c r="BN61" s="77">
        <f t="shared" si="4"/>
        <v>0</v>
      </c>
      <c r="BO61" s="78">
        <f t="shared" si="5"/>
        <v>0</v>
      </c>
      <c r="BP61" s="99" t="str">
        <f t="shared" si="6"/>
        <v/>
      </c>
      <c r="BQ61" s="71">
        <v>43.65</v>
      </c>
      <c r="BR61" s="2"/>
      <c r="BS61" s="2"/>
      <c r="BT61" s="2"/>
      <c r="BU61" s="2"/>
      <c r="BV61" s="2"/>
      <c r="BW61" s="79" t="s">
        <v>93</v>
      </c>
      <c r="BX61" s="16">
        <v>65</v>
      </c>
    </row>
    <row r="62" spans="1:76" ht="14.25" customHeight="1" x14ac:dyDescent="0.6">
      <c r="A62" s="2"/>
      <c r="B62" s="2"/>
      <c r="C62" s="2"/>
      <c r="D62" s="2"/>
      <c r="E62" s="2"/>
      <c r="F62" s="2"/>
      <c r="G62" s="2"/>
      <c r="H62" s="2"/>
      <c r="I62" s="2"/>
      <c r="J62" s="117"/>
      <c r="K62" s="118"/>
      <c r="L62" s="118"/>
      <c r="M62" s="118"/>
      <c r="N62" s="118"/>
      <c r="O62" s="118"/>
      <c r="P62" s="118"/>
      <c r="Q62" s="118"/>
      <c r="R62" s="118"/>
      <c r="S62" s="119"/>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18"/>
      <c r="BA62" s="18"/>
      <c r="BB62" s="18"/>
      <c r="BC62" s="18"/>
      <c r="BD62" s="2"/>
      <c r="BE62" s="2"/>
      <c r="BF62" s="2"/>
      <c r="BG62" s="2"/>
      <c r="BH62" s="63">
        <v>36526</v>
      </c>
      <c r="BI62" s="63">
        <v>36707</v>
      </c>
      <c r="BJ62" s="64">
        <v>17</v>
      </c>
      <c r="BK62" s="68">
        <v>37.9</v>
      </c>
      <c r="BL62" s="86">
        <f t="shared" si="2"/>
        <v>644.29999999999995</v>
      </c>
      <c r="BM62" s="76">
        <f t="shared" si="3"/>
        <v>0</v>
      </c>
      <c r="BN62" s="77">
        <f t="shared" si="4"/>
        <v>0</v>
      </c>
      <c r="BO62" s="78">
        <f t="shared" si="5"/>
        <v>0</v>
      </c>
      <c r="BP62" s="99" t="str">
        <f t="shared" si="6"/>
        <v/>
      </c>
      <c r="BQ62" s="71">
        <v>42.15</v>
      </c>
      <c r="BR62" s="2"/>
      <c r="BS62" s="2"/>
      <c r="BT62" s="2"/>
      <c r="BU62" s="2"/>
      <c r="BV62" s="2"/>
      <c r="BW62" s="79" t="s">
        <v>94</v>
      </c>
      <c r="BX62" s="16">
        <v>75</v>
      </c>
    </row>
    <row r="63" spans="1:76" ht="14.25" customHeight="1" x14ac:dyDescent="0.6">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18"/>
      <c r="BA63" s="18"/>
      <c r="BB63" s="18"/>
      <c r="BC63" s="18"/>
      <c r="BD63" s="2"/>
      <c r="BE63" s="2"/>
      <c r="BF63" s="2"/>
      <c r="BG63" s="2"/>
      <c r="BH63" s="63">
        <v>36708</v>
      </c>
      <c r="BI63" s="63">
        <v>36891</v>
      </c>
      <c r="BJ63" s="64">
        <v>18</v>
      </c>
      <c r="BK63" s="68">
        <v>37.9</v>
      </c>
      <c r="BL63" s="86">
        <f t="shared" si="2"/>
        <v>682.19999999999993</v>
      </c>
      <c r="BM63" s="76">
        <f t="shared" si="3"/>
        <v>0</v>
      </c>
      <c r="BN63" s="77">
        <f t="shared" si="4"/>
        <v>0</v>
      </c>
      <c r="BO63" s="78">
        <f t="shared" si="5"/>
        <v>0</v>
      </c>
      <c r="BP63" s="99" t="str">
        <f t="shared" si="6"/>
        <v/>
      </c>
      <c r="BQ63" s="71">
        <v>42.15</v>
      </c>
      <c r="BR63" s="2"/>
      <c r="BS63" s="2"/>
      <c r="BT63" s="2"/>
      <c r="BU63" s="2"/>
      <c r="BV63" s="2"/>
      <c r="BW63" s="79" t="s">
        <v>95</v>
      </c>
      <c r="BX63" s="16">
        <v>75</v>
      </c>
    </row>
    <row r="64" spans="1:76" ht="14.25" customHeight="1" x14ac:dyDescent="0.6">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18"/>
      <c r="BA64" s="18"/>
      <c r="BB64" s="18"/>
      <c r="BC64" s="18"/>
      <c r="BD64" s="2"/>
      <c r="BE64" s="2"/>
      <c r="BF64" s="2"/>
      <c r="BG64" s="2"/>
      <c r="BH64" s="63">
        <v>36892</v>
      </c>
      <c r="BI64" s="63">
        <v>37072</v>
      </c>
      <c r="BJ64" s="64">
        <v>18</v>
      </c>
      <c r="BK64" s="68">
        <v>40.35</v>
      </c>
      <c r="BL64" s="86">
        <f t="shared" si="2"/>
        <v>726.30000000000007</v>
      </c>
      <c r="BM64" s="76">
        <f t="shared" si="3"/>
        <v>0</v>
      </c>
      <c r="BN64" s="77">
        <f t="shared" si="4"/>
        <v>0</v>
      </c>
      <c r="BO64" s="78">
        <f t="shared" si="5"/>
        <v>0</v>
      </c>
      <c r="BP64" s="99" t="str">
        <f t="shared" si="6"/>
        <v/>
      </c>
      <c r="BQ64" s="71">
        <v>40.35</v>
      </c>
      <c r="BR64" s="2"/>
      <c r="BS64" s="2"/>
      <c r="BT64" s="2"/>
      <c r="BU64" s="2"/>
      <c r="BV64" s="2"/>
      <c r="BW64" s="79" t="s">
        <v>96</v>
      </c>
      <c r="BX64" s="16">
        <v>75</v>
      </c>
    </row>
    <row r="65" spans="1:76" ht="14.25" customHeight="1" x14ac:dyDescent="0.6">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18"/>
      <c r="BA65" s="18"/>
      <c r="BB65" s="18"/>
      <c r="BC65" s="18"/>
      <c r="BD65" s="2"/>
      <c r="BE65" s="2"/>
      <c r="BF65" s="2"/>
      <c r="BG65" s="2"/>
      <c r="BH65" s="63">
        <v>37073</v>
      </c>
      <c r="BI65" s="63">
        <v>37256</v>
      </c>
      <c r="BJ65" s="64">
        <v>19</v>
      </c>
      <c r="BK65" s="68">
        <v>40.35</v>
      </c>
      <c r="BL65" s="86">
        <f t="shared" si="2"/>
        <v>766.65</v>
      </c>
      <c r="BM65" s="76">
        <f t="shared" si="3"/>
        <v>0</v>
      </c>
      <c r="BN65" s="77">
        <f t="shared" si="4"/>
        <v>0</v>
      </c>
      <c r="BO65" s="78">
        <f t="shared" si="5"/>
        <v>0</v>
      </c>
      <c r="BP65" s="99" t="str">
        <f t="shared" si="6"/>
        <v/>
      </c>
      <c r="BQ65" s="71">
        <v>40.35</v>
      </c>
      <c r="BR65" s="2"/>
      <c r="BS65" s="2"/>
      <c r="BT65" s="2"/>
      <c r="BU65" s="2"/>
      <c r="BV65" s="2"/>
      <c r="BW65" s="79" t="s">
        <v>97</v>
      </c>
      <c r="BX65" s="16">
        <v>85</v>
      </c>
    </row>
    <row r="66" spans="1:76" ht="14.25" customHeight="1" x14ac:dyDescent="0.6">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18"/>
      <c r="BA66" s="18"/>
      <c r="BB66" s="18"/>
      <c r="BC66" s="18"/>
      <c r="BD66" s="2"/>
      <c r="BE66" s="2"/>
      <c r="BF66" s="2"/>
      <c r="BG66" s="2"/>
      <c r="BH66" s="63">
        <v>37257</v>
      </c>
      <c r="BI66" s="63">
        <v>37437</v>
      </c>
      <c r="BJ66" s="64">
        <v>19</v>
      </c>
      <c r="BK66" s="68">
        <v>42.15</v>
      </c>
      <c r="BL66" s="86">
        <f t="shared" si="2"/>
        <v>800.85</v>
      </c>
      <c r="BM66" s="76">
        <f t="shared" si="3"/>
        <v>0</v>
      </c>
      <c r="BN66" s="77">
        <f t="shared" si="4"/>
        <v>0</v>
      </c>
      <c r="BO66" s="78">
        <f t="shared" si="5"/>
        <v>0</v>
      </c>
      <c r="BP66" s="99" t="str">
        <f t="shared" si="6"/>
        <v/>
      </c>
      <c r="BQ66" s="71">
        <v>37.9</v>
      </c>
      <c r="BR66" s="2"/>
      <c r="BS66" s="2"/>
      <c r="BT66" s="2"/>
      <c r="BU66" s="2"/>
      <c r="BV66" s="2"/>
      <c r="BW66" s="79" t="s">
        <v>98</v>
      </c>
      <c r="BX66" s="16">
        <v>85</v>
      </c>
    </row>
    <row r="67" spans="1:76" ht="14.25" customHeight="1" x14ac:dyDescent="0.6">
      <c r="A67" s="2"/>
      <c r="B67" s="2"/>
      <c r="C67" s="2"/>
      <c r="D67" s="2"/>
      <c r="E67" s="2"/>
      <c r="F67" s="2"/>
      <c r="G67" s="2"/>
      <c r="H67" s="2"/>
      <c r="I67" s="2"/>
      <c r="J67" s="2"/>
      <c r="K67" s="7"/>
      <c r="L67" s="7"/>
      <c r="M67" s="7"/>
      <c r="N67" s="20"/>
      <c r="O67" s="20"/>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18"/>
      <c r="BA67" s="18"/>
      <c r="BB67" s="18"/>
      <c r="BC67" s="18"/>
      <c r="BD67" s="2"/>
      <c r="BE67" s="2"/>
      <c r="BF67" s="2"/>
      <c r="BG67" s="2"/>
      <c r="BH67" s="63">
        <v>37438</v>
      </c>
      <c r="BI67" s="63">
        <v>37621</v>
      </c>
      <c r="BJ67" s="64">
        <v>20</v>
      </c>
      <c r="BK67" s="68">
        <v>42.15</v>
      </c>
      <c r="BL67" s="86">
        <f t="shared" si="2"/>
        <v>843</v>
      </c>
      <c r="BM67" s="76">
        <f t="shared" si="3"/>
        <v>0</v>
      </c>
      <c r="BN67" s="77">
        <f t="shared" si="4"/>
        <v>0</v>
      </c>
      <c r="BO67" s="78">
        <f t="shared" si="5"/>
        <v>0</v>
      </c>
      <c r="BP67" s="99" t="str">
        <f t="shared" si="6"/>
        <v/>
      </c>
      <c r="BQ67" s="71">
        <v>37.9</v>
      </c>
      <c r="BR67" s="2"/>
      <c r="BS67" s="2"/>
      <c r="BT67" s="2"/>
      <c r="BU67" s="2"/>
      <c r="BV67" s="2"/>
      <c r="BW67" s="79" t="s">
        <v>99</v>
      </c>
      <c r="BX67" s="16">
        <v>85</v>
      </c>
    </row>
    <row r="68" spans="1:76" ht="14.25" customHeight="1" x14ac:dyDescent="0.6">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18"/>
      <c r="BA68" s="18"/>
      <c r="BB68" s="18"/>
      <c r="BC68" s="18"/>
      <c r="BD68" s="2"/>
      <c r="BE68" s="2"/>
      <c r="BF68" s="2"/>
      <c r="BG68" s="2"/>
      <c r="BH68" s="63">
        <v>37622</v>
      </c>
      <c r="BI68" s="63">
        <v>37802</v>
      </c>
      <c r="BJ68" s="64">
        <v>20</v>
      </c>
      <c r="BK68" s="68">
        <v>43.65</v>
      </c>
      <c r="BL68" s="86">
        <f t="shared" si="2"/>
        <v>873</v>
      </c>
      <c r="BM68" s="76">
        <f t="shared" si="3"/>
        <v>0</v>
      </c>
      <c r="BN68" s="77">
        <f t="shared" si="4"/>
        <v>0</v>
      </c>
      <c r="BO68" s="78">
        <f t="shared" si="5"/>
        <v>0</v>
      </c>
      <c r="BP68" s="99" t="str">
        <f t="shared" si="6"/>
        <v/>
      </c>
      <c r="BQ68" s="71">
        <v>34.450000000000003</v>
      </c>
      <c r="BR68" s="2"/>
      <c r="BS68" s="2"/>
      <c r="BT68" s="2"/>
      <c r="BU68" s="2"/>
      <c r="BV68" s="2"/>
      <c r="BW68" s="79" t="s">
        <v>100</v>
      </c>
      <c r="BX68" s="16">
        <v>95</v>
      </c>
    </row>
    <row r="69" spans="1:76" ht="14.25" customHeight="1" x14ac:dyDescent="0.6">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18"/>
      <c r="BA69" s="18"/>
      <c r="BB69" s="18"/>
      <c r="BC69" s="18"/>
      <c r="BD69" s="2"/>
      <c r="BE69" s="2"/>
      <c r="BF69" s="2"/>
      <c r="BG69" s="2"/>
      <c r="BH69" s="63">
        <v>37803</v>
      </c>
      <c r="BI69" s="63">
        <v>37986</v>
      </c>
      <c r="BJ69" s="64">
        <v>21</v>
      </c>
      <c r="BK69" s="68">
        <v>43.65</v>
      </c>
      <c r="BL69" s="86">
        <f t="shared" si="2"/>
        <v>916.65</v>
      </c>
      <c r="BM69" s="76">
        <f t="shared" si="3"/>
        <v>0</v>
      </c>
      <c r="BN69" s="77">
        <f t="shared" si="4"/>
        <v>0</v>
      </c>
      <c r="BO69" s="78">
        <f t="shared" si="5"/>
        <v>0</v>
      </c>
      <c r="BP69" s="99" t="str">
        <f t="shared" si="6"/>
        <v/>
      </c>
      <c r="BQ69" s="71">
        <v>34.450000000000003</v>
      </c>
      <c r="BR69" s="2"/>
      <c r="BS69" s="2"/>
      <c r="BT69" s="2"/>
      <c r="BU69" s="2"/>
      <c r="BV69" s="2"/>
      <c r="BW69" s="79" t="s">
        <v>101</v>
      </c>
      <c r="BX69" s="16">
        <v>95</v>
      </c>
    </row>
    <row r="70" spans="1:76" ht="14.25" customHeight="1" x14ac:dyDescent="0.6">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18"/>
      <c r="BA70" s="18"/>
      <c r="BB70" s="18"/>
      <c r="BC70" s="18"/>
      <c r="BD70" s="2"/>
      <c r="BE70" s="2"/>
      <c r="BF70" s="2"/>
      <c r="BG70" s="2"/>
      <c r="BH70" s="63">
        <v>37987</v>
      </c>
      <c r="BI70" s="63">
        <v>38168</v>
      </c>
      <c r="BJ70" s="64">
        <v>21</v>
      </c>
      <c r="BK70" s="68">
        <v>45.24</v>
      </c>
      <c r="BL70" s="86">
        <f t="shared" si="2"/>
        <v>950.04000000000008</v>
      </c>
      <c r="BM70" s="76">
        <f t="shared" si="3"/>
        <v>0</v>
      </c>
      <c r="BN70" s="77">
        <f t="shared" si="4"/>
        <v>0</v>
      </c>
      <c r="BO70" s="78">
        <f t="shared" si="5"/>
        <v>0</v>
      </c>
      <c r="BP70" s="99" t="str">
        <f t="shared" si="6"/>
        <v/>
      </c>
      <c r="BQ70" s="71">
        <v>34.450000000000003</v>
      </c>
      <c r="BR70" s="2"/>
      <c r="BS70" s="2"/>
      <c r="BT70" s="2"/>
      <c r="BU70" s="2"/>
      <c r="BV70" s="2"/>
      <c r="BW70" s="79" t="s">
        <v>102</v>
      </c>
      <c r="BX70" s="16">
        <v>95</v>
      </c>
    </row>
    <row r="71" spans="1:76" ht="14.25" customHeight="1" x14ac:dyDescent="0.6">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18"/>
      <c r="BA71" s="18"/>
      <c r="BB71" s="18"/>
      <c r="BC71" s="18"/>
      <c r="BD71" s="2"/>
      <c r="BE71" s="2"/>
      <c r="BF71" s="2"/>
      <c r="BG71" s="2"/>
      <c r="BH71" s="63">
        <v>38169</v>
      </c>
      <c r="BI71" s="63">
        <v>38352</v>
      </c>
      <c r="BJ71" s="64">
        <v>22</v>
      </c>
      <c r="BK71" s="68">
        <v>45.24</v>
      </c>
      <c r="BL71" s="86">
        <f t="shared" si="2"/>
        <v>995.28000000000009</v>
      </c>
      <c r="BM71" s="76">
        <f t="shared" si="3"/>
        <v>0</v>
      </c>
      <c r="BN71" s="77">
        <f t="shared" si="4"/>
        <v>0</v>
      </c>
      <c r="BO71" s="78">
        <f t="shared" si="5"/>
        <v>0</v>
      </c>
      <c r="BP71" s="99" t="str">
        <f t="shared" si="6"/>
        <v/>
      </c>
      <c r="BQ71" s="71">
        <v>30.2</v>
      </c>
      <c r="BR71" s="2"/>
      <c r="BS71" s="2"/>
      <c r="BT71" s="2"/>
      <c r="BU71" s="2"/>
      <c r="BV71" s="2"/>
      <c r="BW71" s="79" t="s">
        <v>103</v>
      </c>
      <c r="BX71" s="16">
        <v>105</v>
      </c>
    </row>
    <row r="72" spans="1:76" ht="14.25" customHeight="1" x14ac:dyDescent="0.6">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18"/>
      <c r="BA72" s="18"/>
      <c r="BB72" s="18"/>
      <c r="BC72" s="18"/>
      <c r="BD72" s="2"/>
      <c r="BE72" s="2"/>
      <c r="BF72" s="2"/>
      <c r="BG72" s="2"/>
      <c r="BH72" s="63">
        <v>38353</v>
      </c>
      <c r="BI72" s="63">
        <v>38533</v>
      </c>
      <c r="BJ72" s="64">
        <v>22</v>
      </c>
      <c r="BK72" s="68">
        <v>46.8</v>
      </c>
      <c r="BL72" s="86">
        <f t="shared" si="2"/>
        <v>1029.5999999999999</v>
      </c>
      <c r="BM72" s="76">
        <f t="shared" si="3"/>
        <v>0</v>
      </c>
      <c r="BN72" s="77">
        <f t="shared" si="4"/>
        <v>0</v>
      </c>
      <c r="BO72" s="78">
        <f t="shared" si="5"/>
        <v>0</v>
      </c>
      <c r="BP72" s="99" t="str">
        <f t="shared" si="6"/>
        <v/>
      </c>
      <c r="BQ72" s="71">
        <v>30.2</v>
      </c>
      <c r="BR72" s="2"/>
      <c r="BS72" s="2"/>
      <c r="BT72" s="2"/>
      <c r="BU72" s="2"/>
      <c r="BV72" s="2"/>
      <c r="BW72" s="79" t="s">
        <v>104</v>
      </c>
      <c r="BX72" s="16">
        <v>105</v>
      </c>
    </row>
    <row r="73" spans="1:76" ht="14.25" customHeight="1" x14ac:dyDescent="0.6">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18"/>
      <c r="BA73" s="18"/>
      <c r="BB73" s="18"/>
      <c r="BC73" s="18"/>
      <c r="BD73" s="2"/>
      <c r="BE73" s="2"/>
      <c r="BF73" s="2"/>
      <c r="BG73" s="2"/>
      <c r="BH73" s="63">
        <v>38534</v>
      </c>
      <c r="BI73" s="63">
        <v>38717</v>
      </c>
      <c r="BJ73" s="64">
        <v>23</v>
      </c>
      <c r="BK73" s="68">
        <v>46.8</v>
      </c>
      <c r="BL73" s="86">
        <f t="shared" si="2"/>
        <v>1076.3999999999999</v>
      </c>
      <c r="BM73" s="76">
        <f t="shared" si="3"/>
        <v>0</v>
      </c>
      <c r="BN73" s="77">
        <f t="shared" si="4"/>
        <v>0</v>
      </c>
      <c r="BO73" s="78">
        <f t="shared" si="5"/>
        <v>0</v>
      </c>
      <c r="BP73" s="99" t="str">
        <f t="shared" si="6"/>
        <v/>
      </c>
      <c r="BQ73" s="71">
        <v>26.45</v>
      </c>
      <c r="BR73" s="2"/>
      <c r="BS73" s="2"/>
      <c r="BT73" s="2"/>
      <c r="BU73" s="2"/>
      <c r="BV73" s="2"/>
      <c r="BW73" s="79" t="s">
        <v>105</v>
      </c>
      <c r="BX73" s="16">
        <v>105</v>
      </c>
    </row>
    <row r="74" spans="1:76" ht="14.25" customHeight="1" x14ac:dyDescent="0.6">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18"/>
      <c r="BA74" s="18"/>
      <c r="BB74" s="18"/>
      <c r="BC74" s="18"/>
      <c r="BD74" s="2"/>
      <c r="BE74" s="2"/>
      <c r="BF74" s="2"/>
      <c r="BG74" s="2"/>
      <c r="BH74" s="63">
        <v>38718</v>
      </c>
      <c r="BI74" s="63">
        <v>38898</v>
      </c>
      <c r="BJ74" s="64">
        <v>23</v>
      </c>
      <c r="BK74" s="68">
        <v>48.67</v>
      </c>
      <c r="BL74" s="86">
        <f t="shared" si="2"/>
        <v>1119.4100000000001</v>
      </c>
      <c r="BM74" s="76">
        <f t="shared" si="3"/>
        <v>0</v>
      </c>
      <c r="BN74" s="77">
        <f t="shared" si="4"/>
        <v>0</v>
      </c>
      <c r="BO74" s="78">
        <f t="shared" si="5"/>
        <v>0</v>
      </c>
      <c r="BP74" s="99" t="str">
        <f t="shared" si="6"/>
        <v/>
      </c>
      <c r="BQ74" s="71">
        <v>26.45</v>
      </c>
      <c r="BR74" s="2"/>
      <c r="BS74" s="2"/>
      <c r="BT74" s="2"/>
      <c r="BU74" s="2"/>
      <c r="BV74" s="2"/>
      <c r="BW74" s="57"/>
      <c r="BX74" s="57"/>
    </row>
    <row r="75" spans="1:76" ht="14.25" customHeight="1" x14ac:dyDescent="0.6">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18"/>
      <c r="BA75" s="18"/>
      <c r="BB75" s="18"/>
      <c r="BC75" s="18"/>
      <c r="BD75" s="2"/>
      <c r="BE75" s="2"/>
      <c r="BF75" s="2"/>
      <c r="BG75" s="2"/>
      <c r="BH75" s="63">
        <v>38899</v>
      </c>
      <c r="BI75" s="63">
        <v>39082</v>
      </c>
      <c r="BJ75" s="64">
        <v>24</v>
      </c>
      <c r="BK75" s="68">
        <v>48.67</v>
      </c>
      <c r="BL75" s="86">
        <f t="shared" si="2"/>
        <v>1168.08</v>
      </c>
      <c r="BM75" s="76">
        <f t="shared" si="3"/>
        <v>0</v>
      </c>
      <c r="BN75" s="77">
        <f t="shared" si="4"/>
        <v>0</v>
      </c>
      <c r="BO75" s="78">
        <f t="shared" si="5"/>
        <v>0</v>
      </c>
      <c r="BP75" s="99" t="str">
        <f t="shared" si="6"/>
        <v/>
      </c>
      <c r="BQ75" s="70">
        <v>25.5</v>
      </c>
      <c r="BR75" s="2"/>
      <c r="BS75" s="2"/>
      <c r="BT75" s="2"/>
      <c r="BU75" s="2"/>
      <c r="BV75" s="2"/>
      <c r="BW75" s="57"/>
      <c r="BX75" s="57"/>
    </row>
    <row r="76" spans="1:76" ht="14.25" customHeight="1" x14ac:dyDescent="0.6">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18"/>
      <c r="BA76" s="18"/>
      <c r="BB76" s="18"/>
      <c r="BC76" s="18"/>
      <c r="BD76" s="2"/>
      <c r="BE76" s="2"/>
      <c r="BF76" s="2"/>
      <c r="BG76" s="2"/>
      <c r="BH76" s="63">
        <v>39083</v>
      </c>
      <c r="BI76" s="63">
        <v>39263</v>
      </c>
      <c r="BJ76" s="64">
        <v>24</v>
      </c>
      <c r="BK76" s="68">
        <v>50.57</v>
      </c>
      <c r="BL76" s="86">
        <f t="shared" si="2"/>
        <v>1213.68</v>
      </c>
      <c r="BM76" s="76">
        <f t="shared" si="3"/>
        <v>0</v>
      </c>
      <c r="BN76" s="77">
        <f t="shared" si="4"/>
        <v>0</v>
      </c>
      <c r="BO76" s="78">
        <f t="shared" si="5"/>
        <v>0</v>
      </c>
      <c r="BP76" s="99" t="str">
        <f t="shared" si="6"/>
        <v/>
      </c>
      <c r="BQ76" s="70">
        <v>18.260000000000002</v>
      </c>
      <c r="BR76" s="2"/>
      <c r="BS76" s="2"/>
      <c r="BT76" s="2"/>
      <c r="BU76" s="2"/>
      <c r="BV76" s="2"/>
      <c r="BW76" s="57"/>
      <c r="BX76" s="57"/>
    </row>
    <row r="77" spans="1:76" ht="14.25" customHeight="1" x14ac:dyDescent="0.6">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18"/>
      <c r="BA77" s="18"/>
      <c r="BB77" s="18"/>
      <c r="BC77" s="18"/>
      <c r="BD77" s="2"/>
      <c r="BE77" s="2"/>
      <c r="BF77" s="2"/>
      <c r="BG77" s="2"/>
      <c r="BH77" s="63">
        <v>39264</v>
      </c>
      <c r="BI77" s="63">
        <v>39447</v>
      </c>
      <c r="BJ77" s="64">
        <v>25</v>
      </c>
      <c r="BK77" s="68">
        <v>50.57</v>
      </c>
      <c r="BL77" s="86">
        <f t="shared" si="2"/>
        <v>1264.25</v>
      </c>
      <c r="BM77" s="76">
        <f t="shared" si="3"/>
        <v>0</v>
      </c>
      <c r="BN77" s="77">
        <f t="shared" si="4"/>
        <v>0</v>
      </c>
      <c r="BO77" s="78">
        <f t="shared" si="5"/>
        <v>0</v>
      </c>
      <c r="BP77" s="99" t="str">
        <f t="shared" si="6"/>
        <v/>
      </c>
      <c r="BQ77" s="70">
        <v>15.27</v>
      </c>
      <c r="BR77" s="2"/>
      <c r="BS77" s="2"/>
      <c r="BT77" s="2"/>
      <c r="BU77" s="2"/>
      <c r="BV77" s="2"/>
      <c r="BW77" s="57"/>
      <c r="BX77" s="57"/>
    </row>
    <row r="78" spans="1:76" ht="14.25" customHeight="1" x14ac:dyDescent="0.6">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18"/>
      <c r="BA78" s="18"/>
      <c r="BB78" s="18"/>
      <c r="BC78" s="18"/>
      <c r="BD78" s="2"/>
      <c r="BE78" s="2"/>
      <c r="BF78" s="2"/>
      <c r="BG78" s="2"/>
      <c r="BH78" s="63">
        <v>39448</v>
      </c>
      <c r="BI78" s="63">
        <v>39813</v>
      </c>
      <c r="BJ78" s="64">
        <v>25</v>
      </c>
      <c r="BK78" s="68">
        <v>52.59</v>
      </c>
      <c r="BL78" s="86">
        <f>BK78*BJ78</f>
        <v>1314.75</v>
      </c>
      <c r="BM78" s="76">
        <f t="shared" ref="BM78:BM140" si="7">IF(AND(BH78&gt;=DATE(YEAR($F$9),MONTH($F$9),DAY($F$9))-1750,BI78&lt;=$F$9)=TRUE,DATE(YEAR(BI78),MONTH(BI78),DAY(BI78))-DATE(YEAR(BH78),MONTH(BH78),DAY(BH78))+1,IF(AND(BH78&lt;DATE(YEAR($F$9),MONTH($F$9),DAY($F$9))-1748,BI78&gt;DATE(YEAR($F$9),MONTH($F$9),DAY($F$9))-1748)=TRUE,DATE(YEAR(BI78),MONTH(BI78),DAY(BI78))-DATE(YEAR(DATE(YEAR($F$9),MONTH($F$9),DAY($F$9))-1748),MONTH(DATE(YEAR($F$9),MONTH($F$9),DAY($F$9))-1748),DAY(DATE(YEAR($F$9),MONTH($F$9),DAY($F$9))-1748))+1,IF(AND(BI78&gt;$F$9,BH78&lt;$F$9)=TRUE,DATE(YEAR($F$9),MONTH($F$9),DAY($F$9))-DATE(YEAR(BH78),MONTH(BH78),DAY(BH78))+1,0)))</f>
        <v>0</v>
      </c>
      <c r="BN78" s="77">
        <f t="shared" ref="BN78:BN140" si="8">BM78/7</f>
        <v>0</v>
      </c>
      <c r="BO78" s="78">
        <f t="shared" ref="BO78:BO140" si="9">BM78*BL78/7</f>
        <v>0</v>
      </c>
      <c r="BP78" s="99" t="str">
        <f t="shared" ref="BP78:BP140" si="10">IF(AND($F$9&gt;=BH78,$F$9&lt;=BI78)=TRUE,BK78,"")</f>
        <v/>
      </c>
      <c r="BQ78" s="70">
        <v>14.27</v>
      </c>
      <c r="BR78" s="2"/>
      <c r="BS78" s="2"/>
      <c r="BT78" s="2"/>
      <c r="BU78" s="2"/>
      <c r="BV78" s="2"/>
      <c r="BW78" s="57"/>
      <c r="BX78" s="57"/>
    </row>
    <row r="79" spans="1:76" ht="14.25" customHeight="1" x14ac:dyDescent="0.6">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18"/>
      <c r="BA79" s="18"/>
      <c r="BB79" s="18"/>
      <c r="BC79" s="18"/>
      <c r="BD79" s="2"/>
      <c r="BE79" s="2"/>
      <c r="BF79" s="2"/>
      <c r="BG79" s="2"/>
      <c r="BH79" s="91">
        <f>IF(N191=0,BI78+1,N191)</f>
        <v>39814</v>
      </c>
      <c r="BI79" s="91">
        <f>IF(N192="",DATE(YEAR(BH79),12,31),BH80-1)</f>
        <v>40178</v>
      </c>
      <c r="BJ79" s="92">
        <f>IF(P191="",BJ78,P191)</f>
        <v>25</v>
      </c>
      <c r="BK79" s="93">
        <f>IF(Q191="",BK78*1.04,Q191)</f>
        <v>54.8</v>
      </c>
      <c r="BL79" s="94">
        <f>BK79*BJ79</f>
        <v>1370</v>
      </c>
      <c r="BM79" s="76">
        <f t="shared" si="7"/>
        <v>0</v>
      </c>
      <c r="BN79" s="77">
        <f t="shared" si="8"/>
        <v>0</v>
      </c>
      <c r="BO79" s="78">
        <f t="shared" si="9"/>
        <v>0</v>
      </c>
      <c r="BP79" s="99" t="str">
        <f t="shared" si="10"/>
        <v/>
      </c>
      <c r="BQ79" s="70">
        <v>14.27</v>
      </c>
      <c r="BR79" s="2"/>
      <c r="BS79" s="2"/>
      <c r="BT79" s="2"/>
      <c r="BU79" s="2"/>
      <c r="BV79" s="2"/>
      <c r="BW79" s="57"/>
      <c r="BX79" s="57"/>
    </row>
    <row r="80" spans="1:76" ht="14.25" customHeight="1" x14ac:dyDescent="0.6">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18"/>
      <c r="BA80" s="18"/>
      <c r="BB80" s="18"/>
      <c r="BC80" s="18"/>
      <c r="BD80" s="2"/>
      <c r="BE80" s="2"/>
      <c r="BF80" s="2"/>
      <c r="BG80" s="2"/>
      <c r="BH80" s="91">
        <f t="shared" ref="BH80:BH140" si="11">IF(N192=0,BI79+1,N192)</f>
        <v>40179</v>
      </c>
      <c r="BI80" s="91">
        <f t="shared" ref="BI80:BI140" si="12">IF(N193="",DATE(YEAR(BH80),12,31),BH81-1)</f>
        <v>40543</v>
      </c>
      <c r="BJ80" s="92">
        <f t="shared" ref="BJ80:BJ140" si="13">IF(P192="",BJ79,P192)</f>
        <v>25</v>
      </c>
      <c r="BK80" s="93">
        <f t="shared" ref="BK80:BK140" si="14">IF(Q192="",BK79*1.04,Q192)</f>
        <v>57.46</v>
      </c>
      <c r="BL80" s="94">
        <f t="shared" ref="BL80:BL140" si="15">BK80*BJ80</f>
        <v>1436.5</v>
      </c>
      <c r="BM80" s="76">
        <f t="shared" si="7"/>
        <v>0</v>
      </c>
      <c r="BN80" s="77">
        <f t="shared" si="8"/>
        <v>0</v>
      </c>
      <c r="BO80" s="78">
        <f t="shared" si="9"/>
        <v>0</v>
      </c>
      <c r="BP80" s="99" t="str">
        <f t="shared" si="10"/>
        <v/>
      </c>
      <c r="BQ80" s="72">
        <v>13.3</v>
      </c>
      <c r="BR80" s="2"/>
      <c r="BS80" s="2"/>
      <c r="BT80" s="2"/>
      <c r="BU80" s="2"/>
      <c r="BV80" s="2"/>
      <c r="BW80" s="57"/>
      <c r="BX80" s="57"/>
    </row>
    <row r="81" spans="1:76" ht="14.25" customHeight="1" x14ac:dyDescent="0.6">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18"/>
      <c r="BA81" s="18"/>
      <c r="BB81" s="18"/>
      <c r="BC81" s="18"/>
      <c r="BD81" s="2"/>
      <c r="BE81" s="2"/>
      <c r="BF81" s="2"/>
      <c r="BG81" s="2"/>
      <c r="BH81" s="91">
        <f t="shared" si="11"/>
        <v>40544</v>
      </c>
      <c r="BI81" s="91">
        <f t="shared" si="12"/>
        <v>40908</v>
      </c>
      <c r="BJ81" s="92">
        <f t="shared" si="13"/>
        <v>25</v>
      </c>
      <c r="BK81" s="93">
        <f t="shared" si="14"/>
        <v>59.82</v>
      </c>
      <c r="BL81" s="94">
        <f t="shared" si="15"/>
        <v>1495.5</v>
      </c>
      <c r="BM81" s="76">
        <f t="shared" si="7"/>
        <v>0</v>
      </c>
      <c r="BN81" s="77">
        <f t="shared" si="8"/>
        <v>0</v>
      </c>
      <c r="BO81" s="78">
        <f t="shared" si="9"/>
        <v>0</v>
      </c>
      <c r="BP81" s="99" t="str">
        <f t="shared" si="10"/>
        <v/>
      </c>
      <c r="BQ81" s="70">
        <v>11.9</v>
      </c>
      <c r="BR81" s="2"/>
      <c r="BS81" s="2"/>
      <c r="BT81" s="2"/>
      <c r="BU81" s="2"/>
      <c r="BV81" s="2"/>
      <c r="BW81" s="57"/>
      <c r="BX81" s="57"/>
    </row>
    <row r="82" spans="1:76" ht="14.25" customHeight="1" x14ac:dyDescent="0.6">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18"/>
      <c r="BA82" s="18"/>
      <c r="BB82" s="18"/>
      <c r="BC82" s="18"/>
      <c r="BD82" s="2"/>
      <c r="BE82" s="2"/>
      <c r="BF82" s="2"/>
      <c r="BG82" s="2"/>
      <c r="BH82" s="91">
        <f t="shared" si="11"/>
        <v>40909</v>
      </c>
      <c r="BI82" s="91">
        <f t="shared" si="12"/>
        <v>41274</v>
      </c>
      <c r="BJ82" s="92">
        <f t="shared" si="13"/>
        <v>25</v>
      </c>
      <c r="BK82" s="93">
        <f t="shared" si="14"/>
        <v>62.33</v>
      </c>
      <c r="BL82" s="94">
        <f t="shared" si="15"/>
        <v>1558.25</v>
      </c>
      <c r="BM82" s="76">
        <f t="shared" si="7"/>
        <v>0</v>
      </c>
      <c r="BN82" s="77">
        <f t="shared" si="8"/>
        <v>0</v>
      </c>
      <c r="BO82" s="78">
        <f t="shared" si="9"/>
        <v>0</v>
      </c>
      <c r="BP82" s="99" t="str">
        <f t="shared" si="10"/>
        <v/>
      </c>
      <c r="BQ82" s="70">
        <v>9.2899999999999991</v>
      </c>
      <c r="BR82" s="2"/>
      <c r="BS82" s="2"/>
      <c r="BT82" s="2"/>
      <c r="BU82" s="2"/>
      <c r="BV82" s="2"/>
      <c r="BW82" s="57"/>
      <c r="BX82" s="57"/>
    </row>
    <row r="83" spans="1:76" ht="14.25" customHeight="1" x14ac:dyDescent="0.6">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18"/>
      <c r="BA83" s="18"/>
      <c r="BB83" s="18"/>
      <c r="BC83" s="18"/>
      <c r="BD83" s="2"/>
      <c r="BE83" s="2"/>
      <c r="BF83" s="2"/>
      <c r="BG83" s="2"/>
      <c r="BH83" s="91">
        <f t="shared" si="11"/>
        <v>41275</v>
      </c>
      <c r="BI83" s="91">
        <f t="shared" si="12"/>
        <v>41639</v>
      </c>
      <c r="BJ83" s="92">
        <f t="shared" si="13"/>
        <v>25</v>
      </c>
      <c r="BK83" s="93">
        <f t="shared" si="14"/>
        <v>64.760000000000005</v>
      </c>
      <c r="BL83" s="94">
        <f t="shared" si="15"/>
        <v>1619.0000000000002</v>
      </c>
      <c r="BM83" s="76">
        <f t="shared" si="7"/>
        <v>0</v>
      </c>
      <c r="BN83" s="77">
        <f t="shared" si="8"/>
        <v>0</v>
      </c>
      <c r="BO83" s="78">
        <f t="shared" si="9"/>
        <v>0</v>
      </c>
      <c r="BP83" s="99" t="str">
        <f t="shared" si="10"/>
        <v/>
      </c>
      <c r="BQ83" s="70">
        <v>7.88</v>
      </c>
      <c r="BR83" s="2"/>
      <c r="BS83" s="2"/>
      <c r="BT83" s="2"/>
      <c r="BU83" s="2"/>
      <c r="BV83" s="2"/>
      <c r="BW83" s="57"/>
      <c r="BX83" s="57"/>
    </row>
    <row r="84" spans="1:76" ht="14.25" customHeight="1" x14ac:dyDescent="0.6">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18"/>
      <c r="BA84" s="18"/>
      <c r="BB84" s="18"/>
      <c r="BC84" s="18"/>
      <c r="BD84" s="2"/>
      <c r="BE84" s="2"/>
      <c r="BF84" s="2"/>
      <c r="BG84" s="2"/>
      <c r="BH84" s="91">
        <f t="shared" si="11"/>
        <v>41640</v>
      </c>
      <c r="BI84" s="91">
        <f t="shared" si="12"/>
        <v>42004</v>
      </c>
      <c r="BJ84" s="92">
        <f t="shared" si="13"/>
        <v>25</v>
      </c>
      <c r="BK84" s="93">
        <f t="shared" si="14"/>
        <v>67.290000000000006</v>
      </c>
      <c r="BL84" s="94">
        <f t="shared" si="15"/>
        <v>1682.2500000000002</v>
      </c>
      <c r="BM84" s="76">
        <f t="shared" si="7"/>
        <v>0</v>
      </c>
      <c r="BN84" s="77">
        <f t="shared" si="8"/>
        <v>0</v>
      </c>
      <c r="BO84" s="78">
        <f t="shared" si="9"/>
        <v>0</v>
      </c>
      <c r="BP84" s="99" t="str">
        <f t="shared" si="10"/>
        <v/>
      </c>
      <c r="BQ84" s="70">
        <v>4.2</v>
      </c>
      <c r="BR84" s="2"/>
      <c r="BS84" s="2"/>
      <c r="BT84" s="2"/>
      <c r="BU84" s="2"/>
      <c r="BV84" s="2"/>
      <c r="BW84" s="57"/>
      <c r="BX84" s="57"/>
    </row>
    <row r="85" spans="1:76" ht="14.25" customHeight="1" x14ac:dyDescent="0.6">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18"/>
      <c r="BA85" s="18"/>
      <c r="BB85" s="18"/>
      <c r="BC85" s="18"/>
      <c r="BD85" s="2"/>
      <c r="BE85" s="2"/>
      <c r="BF85" s="2"/>
      <c r="BG85" s="2"/>
      <c r="BH85" s="91">
        <f t="shared" si="11"/>
        <v>42005</v>
      </c>
      <c r="BI85" s="91">
        <f t="shared" si="12"/>
        <v>42369</v>
      </c>
      <c r="BJ85" s="92">
        <f t="shared" si="13"/>
        <v>25</v>
      </c>
      <c r="BK85" s="93">
        <f t="shared" si="14"/>
        <v>70.099999999999994</v>
      </c>
      <c r="BL85" s="94">
        <f t="shared" si="15"/>
        <v>1752.4999999999998</v>
      </c>
      <c r="BM85" s="76">
        <f t="shared" si="7"/>
        <v>0</v>
      </c>
      <c r="BN85" s="77">
        <f t="shared" si="8"/>
        <v>0</v>
      </c>
      <c r="BO85" s="78">
        <f t="shared" si="9"/>
        <v>0</v>
      </c>
      <c r="BP85" s="99" t="str">
        <f t="shared" si="10"/>
        <v/>
      </c>
      <c r="BQ85" s="70">
        <v>2.48</v>
      </c>
      <c r="BR85" s="2"/>
      <c r="BS85" s="2"/>
      <c r="BT85" s="2"/>
      <c r="BU85" s="2"/>
      <c r="BV85" s="2"/>
      <c r="BW85" s="57"/>
      <c r="BX85" s="57"/>
    </row>
    <row r="86" spans="1:76" ht="14.25" customHeight="1" x14ac:dyDescent="0.6">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18"/>
      <c r="BA86" s="18"/>
      <c r="BB86" s="18"/>
      <c r="BC86" s="18"/>
      <c r="BD86" s="2"/>
      <c r="BE86" s="2"/>
      <c r="BF86" s="2"/>
      <c r="BG86" s="2"/>
      <c r="BH86" s="91">
        <f t="shared" si="11"/>
        <v>42370</v>
      </c>
      <c r="BI86" s="91">
        <f t="shared" si="12"/>
        <v>42735</v>
      </c>
      <c r="BJ86" s="92">
        <f t="shared" si="13"/>
        <v>25</v>
      </c>
      <c r="BK86" s="93">
        <f t="shared" si="14"/>
        <v>73.040000000000006</v>
      </c>
      <c r="BL86" s="94">
        <f t="shared" si="15"/>
        <v>1826.0000000000002</v>
      </c>
      <c r="BM86" s="76">
        <f t="shared" si="7"/>
        <v>0</v>
      </c>
      <c r="BN86" s="77">
        <f t="shared" si="8"/>
        <v>0</v>
      </c>
      <c r="BO86" s="78">
        <f t="shared" si="9"/>
        <v>0</v>
      </c>
      <c r="BP86" s="99" t="str">
        <f t="shared" si="10"/>
        <v/>
      </c>
      <c r="BQ86" s="70">
        <v>1.25</v>
      </c>
      <c r="BR86" s="2"/>
      <c r="BS86" s="2"/>
      <c r="BT86" s="2"/>
      <c r="BU86" s="2"/>
      <c r="BV86" s="2"/>
      <c r="BW86" s="57"/>
      <c r="BX86" s="57"/>
    </row>
    <row r="87" spans="1:76" ht="14.25" customHeight="1" x14ac:dyDescent="0.6">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18"/>
      <c r="BA87" s="18"/>
      <c r="BB87" s="18"/>
      <c r="BC87" s="18"/>
      <c r="BD87" s="2"/>
      <c r="BE87" s="2"/>
      <c r="BF87" s="2"/>
      <c r="BG87" s="2"/>
      <c r="BH87" s="91">
        <f t="shared" si="11"/>
        <v>42736</v>
      </c>
      <c r="BI87" s="91">
        <f t="shared" si="12"/>
        <v>43131</v>
      </c>
      <c r="BJ87" s="92">
        <f t="shared" si="13"/>
        <v>25</v>
      </c>
      <c r="BK87" s="93">
        <f t="shared" si="14"/>
        <v>75.489999999999995</v>
      </c>
      <c r="BL87" s="94">
        <f t="shared" si="15"/>
        <v>1887.2499999999998</v>
      </c>
      <c r="BM87" s="76">
        <f t="shared" si="7"/>
        <v>0</v>
      </c>
      <c r="BN87" s="77">
        <f t="shared" si="8"/>
        <v>0</v>
      </c>
      <c r="BO87" s="78">
        <f t="shared" si="9"/>
        <v>0</v>
      </c>
      <c r="BP87" s="99" t="str">
        <f t="shared" si="10"/>
        <v/>
      </c>
      <c r="BQ87" s="70">
        <v>0.8</v>
      </c>
      <c r="BR87" s="2"/>
      <c r="BS87" s="2"/>
      <c r="BT87" s="2"/>
      <c r="BU87" s="2"/>
      <c r="BV87" s="2"/>
      <c r="BW87" s="57"/>
      <c r="BX87" s="57"/>
    </row>
    <row r="88" spans="1:76" ht="14.25" customHeight="1" x14ac:dyDescent="0.6">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18"/>
      <c r="BA88" s="18"/>
      <c r="BB88" s="18"/>
      <c r="BC88" s="89">
        <f>IF(N197&gt;0,N197,"")</f>
        <v>42005</v>
      </c>
      <c r="BD88" s="2"/>
      <c r="BE88" s="2"/>
      <c r="BF88" s="2"/>
      <c r="BG88" s="2"/>
      <c r="BH88" s="91">
        <f t="shared" si="11"/>
        <v>43132</v>
      </c>
      <c r="BI88" s="91">
        <f t="shared" si="12"/>
        <v>43496</v>
      </c>
      <c r="BJ88" s="92">
        <f t="shared" si="13"/>
        <v>25</v>
      </c>
      <c r="BK88" s="93">
        <f t="shared" si="14"/>
        <v>80.599999999999994</v>
      </c>
      <c r="BL88" s="94">
        <f t="shared" si="15"/>
        <v>2014.9999999999998</v>
      </c>
      <c r="BM88" s="76">
        <f t="shared" si="7"/>
        <v>0</v>
      </c>
      <c r="BN88" s="77">
        <f t="shared" si="8"/>
        <v>0</v>
      </c>
      <c r="BO88" s="78">
        <f t="shared" si="9"/>
        <v>0</v>
      </c>
      <c r="BP88" s="99" t="str">
        <f t="shared" si="10"/>
        <v/>
      </c>
      <c r="BQ88" s="70">
        <v>0.5</v>
      </c>
      <c r="BR88" s="2"/>
      <c r="BS88" s="2"/>
      <c r="BT88" s="2"/>
      <c r="BU88" s="2"/>
      <c r="BV88" s="2"/>
      <c r="BW88" s="57"/>
      <c r="BX88" s="57"/>
    </row>
    <row r="89" spans="1:76" ht="14.25" customHeight="1" x14ac:dyDescent="0.6">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18"/>
      <c r="BA89" s="18"/>
      <c r="BB89" s="18"/>
      <c r="BC89" s="18"/>
      <c r="BD89" s="2"/>
      <c r="BE89" s="2"/>
      <c r="BF89" s="2"/>
      <c r="BG89" s="2"/>
      <c r="BH89" s="91">
        <f t="shared" si="11"/>
        <v>43497</v>
      </c>
      <c r="BI89" s="91">
        <f t="shared" si="12"/>
        <v>43861</v>
      </c>
      <c r="BJ89" s="92">
        <f t="shared" si="13"/>
        <v>25</v>
      </c>
      <c r="BK89" s="93">
        <f t="shared" si="14"/>
        <v>84.49</v>
      </c>
      <c r="BL89" s="94">
        <f t="shared" si="15"/>
        <v>2112.25</v>
      </c>
      <c r="BM89" s="76">
        <f t="shared" si="7"/>
        <v>0</v>
      </c>
      <c r="BN89" s="77">
        <f t="shared" si="8"/>
        <v>0</v>
      </c>
      <c r="BO89" s="78">
        <f t="shared" si="9"/>
        <v>0</v>
      </c>
      <c r="BP89" s="99" t="str">
        <f t="shared" si="10"/>
        <v/>
      </c>
      <c r="BQ89" s="70">
        <v>0.36399999999999999</v>
      </c>
      <c r="BR89" s="2"/>
      <c r="BS89" s="2"/>
      <c r="BT89" s="2"/>
      <c r="BU89" s="2"/>
      <c r="BV89" s="2"/>
      <c r="BW89" s="57"/>
      <c r="BX89" s="57"/>
    </row>
    <row r="90" spans="1:76" ht="14.25" customHeight="1" x14ac:dyDescent="0.6">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18"/>
      <c r="BA90" s="18"/>
      <c r="BB90" s="18"/>
      <c r="BC90" s="18"/>
      <c r="BD90" s="2"/>
      <c r="BE90" s="2"/>
      <c r="BF90" s="2"/>
      <c r="BG90" s="2"/>
      <c r="BH90" s="91">
        <f t="shared" si="11"/>
        <v>43862</v>
      </c>
      <c r="BI90" s="91">
        <f t="shared" si="12"/>
        <v>44227</v>
      </c>
      <c r="BJ90" s="92">
        <f t="shared" si="13"/>
        <v>25</v>
      </c>
      <c r="BK90" s="93">
        <f t="shared" si="14"/>
        <v>86.88</v>
      </c>
      <c r="BL90" s="94">
        <f t="shared" si="15"/>
        <v>2172</v>
      </c>
      <c r="BM90" s="76">
        <f t="shared" si="7"/>
        <v>0</v>
      </c>
      <c r="BN90" s="77">
        <f t="shared" si="8"/>
        <v>0</v>
      </c>
      <c r="BO90" s="78">
        <f t="shared" si="9"/>
        <v>0</v>
      </c>
      <c r="BP90" s="99" t="str">
        <f t="shared" si="10"/>
        <v/>
      </c>
      <c r="BQ90" s="70">
        <v>0.36399999999999999</v>
      </c>
      <c r="BR90" s="2"/>
      <c r="BS90" s="2"/>
      <c r="BT90" s="2"/>
      <c r="BU90" s="2"/>
      <c r="BV90" s="2"/>
      <c r="BW90" s="57"/>
      <c r="BX90" s="57"/>
    </row>
    <row r="91" spans="1:76" ht="14.25" customHeight="1" x14ac:dyDescent="0.6">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18"/>
      <c r="BA91" s="18"/>
      <c r="BB91" s="18"/>
      <c r="BC91" s="18"/>
      <c r="BD91" s="2"/>
      <c r="BE91" s="2"/>
      <c r="BF91" s="2"/>
      <c r="BG91" s="2"/>
      <c r="BH91" s="91">
        <f t="shared" si="11"/>
        <v>44228</v>
      </c>
      <c r="BI91" s="91">
        <f t="shared" si="12"/>
        <v>44592</v>
      </c>
      <c r="BJ91" s="92">
        <f t="shared" si="13"/>
        <v>25</v>
      </c>
      <c r="BK91" s="93">
        <f t="shared" si="14"/>
        <v>89.62</v>
      </c>
      <c r="BL91" s="94">
        <f t="shared" si="15"/>
        <v>2240.5</v>
      </c>
      <c r="BM91" s="76">
        <f t="shared" si="7"/>
        <v>300</v>
      </c>
      <c r="BN91" s="77">
        <f t="shared" si="8"/>
        <v>42.857142857142854</v>
      </c>
      <c r="BO91" s="78">
        <f t="shared" si="9"/>
        <v>96021.428571428565</v>
      </c>
      <c r="BP91" s="99" t="str">
        <f t="shared" si="10"/>
        <v/>
      </c>
      <c r="BQ91" s="70">
        <v>0.36399999999999999</v>
      </c>
      <c r="BR91" s="2"/>
      <c r="BS91" s="2"/>
      <c r="BT91" s="2"/>
      <c r="BU91" s="2"/>
      <c r="BV91" s="2"/>
      <c r="BW91" s="57"/>
      <c r="BX91" s="57"/>
    </row>
    <row r="92" spans="1:76" ht="14.25" customHeight="1" x14ac:dyDescent="0.6">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18"/>
      <c r="BA92" s="18"/>
      <c r="BB92" s="18"/>
      <c r="BC92" s="18"/>
      <c r="BD92" s="2"/>
      <c r="BE92" s="2"/>
      <c r="BF92" s="2"/>
      <c r="BG92" s="2"/>
      <c r="BH92" s="91">
        <f t="shared" si="11"/>
        <v>44593</v>
      </c>
      <c r="BI92" s="91">
        <f t="shared" si="12"/>
        <v>44957</v>
      </c>
      <c r="BJ92" s="92">
        <f t="shared" si="13"/>
        <v>25</v>
      </c>
      <c r="BK92" s="93">
        <f t="shared" si="14"/>
        <v>96.22</v>
      </c>
      <c r="BL92" s="94">
        <f t="shared" si="15"/>
        <v>2405.5</v>
      </c>
      <c r="BM92" s="76">
        <f t="shared" si="7"/>
        <v>365</v>
      </c>
      <c r="BN92" s="77">
        <f t="shared" si="8"/>
        <v>52.142857142857146</v>
      </c>
      <c r="BO92" s="78">
        <f t="shared" si="9"/>
        <v>125429.64285714286</v>
      </c>
      <c r="BP92" s="99" t="str">
        <f t="shared" si="10"/>
        <v/>
      </c>
      <c r="BQ92" s="70">
        <v>0.36399999999999999</v>
      </c>
      <c r="BR92" s="2"/>
      <c r="BS92" s="2"/>
      <c r="BT92" s="2"/>
      <c r="BU92" s="2"/>
      <c r="BV92" s="2"/>
      <c r="BW92" s="57"/>
      <c r="BX92" s="57"/>
    </row>
    <row r="93" spans="1:76" ht="14.25" customHeight="1" x14ac:dyDescent="0.6">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18"/>
      <c r="BA93" s="18"/>
      <c r="BB93" s="18"/>
      <c r="BC93" s="18"/>
      <c r="BD93" s="2"/>
      <c r="BE93" s="2"/>
      <c r="BF93" s="2"/>
      <c r="BG93" s="2"/>
      <c r="BH93" s="91">
        <f t="shared" si="11"/>
        <v>44958</v>
      </c>
      <c r="BI93" s="91">
        <f t="shared" si="12"/>
        <v>45322</v>
      </c>
      <c r="BJ93" s="92">
        <f t="shared" si="13"/>
        <v>25</v>
      </c>
      <c r="BK93" s="93">
        <f t="shared" si="14"/>
        <v>103.74</v>
      </c>
      <c r="BL93" s="94">
        <f t="shared" si="15"/>
        <v>2593.5</v>
      </c>
      <c r="BM93" s="76">
        <f t="shared" si="7"/>
        <v>365</v>
      </c>
      <c r="BN93" s="77">
        <f t="shared" si="8"/>
        <v>52.142857142857146</v>
      </c>
      <c r="BO93" s="78">
        <f t="shared" si="9"/>
        <v>135232.5</v>
      </c>
      <c r="BP93" s="99" t="str">
        <f t="shared" si="10"/>
        <v/>
      </c>
      <c r="BQ93" s="70">
        <v>0.36399999999999999</v>
      </c>
      <c r="BR93" s="2"/>
      <c r="BS93" s="2"/>
      <c r="BT93" s="2"/>
      <c r="BU93" s="2"/>
      <c r="BV93" s="2"/>
      <c r="BW93" s="57"/>
      <c r="BX93" s="57"/>
    </row>
    <row r="94" spans="1:76" ht="14.25" customHeight="1" x14ac:dyDescent="0.6">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18"/>
      <c r="BA94" s="18"/>
      <c r="BB94" s="18"/>
      <c r="BC94" s="18"/>
      <c r="BD94" s="2"/>
      <c r="BE94" s="2"/>
      <c r="BF94" s="2"/>
      <c r="BG94" s="2"/>
      <c r="BH94" s="91">
        <f t="shared" si="11"/>
        <v>45323</v>
      </c>
      <c r="BI94" s="91">
        <f t="shared" si="12"/>
        <v>45688</v>
      </c>
      <c r="BJ94" s="92">
        <f t="shared" si="13"/>
        <v>25</v>
      </c>
      <c r="BK94" s="93">
        <f t="shared" si="14"/>
        <v>108.57</v>
      </c>
      <c r="BL94" s="94">
        <f t="shared" si="15"/>
        <v>2714.25</v>
      </c>
      <c r="BM94" s="76">
        <f t="shared" si="7"/>
        <v>366</v>
      </c>
      <c r="BN94" s="77">
        <f t="shared" si="8"/>
        <v>52.285714285714285</v>
      </c>
      <c r="BO94" s="78">
        <f t="shared" si="9"/>
        <v>141916.5</v>
      </c>
      <c r="BP94" s="99" t="str">
        <f t="shared" si="10"/>
        <v/>
      </c>
      <c r="BQ94" s="70">
        <v>0.36399999999999999</v>
      </c>
      <c r="BR94" s="2"/>
      <c r="BS94" s="2"/>
      <c r="BT94" s="2"/>
      <c r="BU94" s="2"/>
      <c r="BV94" s="2"/>
      <c r="BW94" s="57"/>
      <c r="BX94" s="57"/>
    </row>
    <row r="95" spans="1:76" ht="14.25" customHeight="1" x14ac:dyDescent="0.6">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18"/>
      <c r="BA95" s="18"/>
      <c r="BB95" s="18"/>
      <c r="BC95" s="18"/>
      <c r="BD95" s="2"/>
      <c r="BE95" s="2"/>
      <c r="BF95" s="2"/>
      <c r="BG95" s="2"/>
      <c r="BH95" s="91">
        <f t="shared" si="11"/>
        <v>45689</v>
      </c>
      <c r="BI95" s="91">
        <f t="shared" si="12"/>
        <v>46022</v>
      </c>
      <c r="BJ95" s="92">
        <f t="shared" si="13"/>
        <v>25</v>
      </c>
      <c r="BK95" s="93">
        <f t="shared" si="14"/>
        <v>113.14</v>
      </c>
      <c r="BL95" s="94">
        <f t="shared" si="15"/>
        <v>2828.5</v>
      </c>
      <c r="BM95" s="76">
        <f t="shared" si="7"/>
        <v>334</v>
      </c>
      <c r="BN95" s="77">
        <f t="shared" si="8"/>
        <v>47.714285714285715</v>
      </c>
      <c r="BO95" s="78">
        <f t="shared" si="9"/>
        <v>134959.85714285713</v>
      </c>
      <c r="BP95" s="99" t="str">
        <f t="shared" si="10"/>
        <v/>
      </c>
      <c r="BQ95" s="70">
        <v>0.36399999999999999</v>
      </c>
      <c r="BR95" s="2"/>
      <c r="BS95" s="2"/>
      <c r="BT95" s="2"/>
      <c r="BU95" s="2"/>
      <c r="BV95" s="2"/>
      <c r="BW95" s="57"/>
      <c r="BX95" s="57"/>
    </row>
    <row r="96" spans="1:76" ht="14.25" customHeight="1" x14ac:dyDescent="0.6">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18"/>
      <c r="BA96" s="18"/>
      <c r="BB96" s="18"/>
      <c r="BC96" s="18"/>
      <c r="BD96" s="2"/>
      <c r="BE96" s="2"/>
      <c r="BF96" s="2"/>
      <c r="BG96" s="2"/>
      <c r="BH96" s="91">
        <f t="shared" si="11"/>
        <v>46023</v>
      </c>
      <c r="BI96" s="91">
        <f t="shared" si="12"/>
        <v>46387</v>
      </c>
      <c r="BJ96" s="92">
        <f t="shared" si="13"/>
        <v>25</v>
      </c>
      <c r="BK96" s="93">
        <f t="shared" si="14"/>
        <v>117.6656</v>
      </c>
      <c r="BL96" s="94">
        <f t="shared" si="15"/>
        <v>2941.64</v>
      </c>
      <c r="BM96" s="76">
        <f t="shared" si="7"/>
        <v>19</v>
      </c>
      <c r="BN96" s="77">
        <f t="shared" si="8"/>
        <v>2.7142857142857144</v>
      </c>
      <c r="BO96" s="78">
        <f t="shared" si="9"/>
        <v>7984.4514285714276</v>
      </c>
      <c r="BP96" s="99">
        <f t="shared" si="10"/>
        <v>117.6656</v>
      </c>
      <c r="BQ96" s="70">
        <v>0.36399999999999999</v>
      </c>
      <c r="BR96" s="2"/>
      <c r="BS96" s="2"/>
      <c r="BT96" s="2"/>
      <c r="BU96" s="2"/>
      <c r="BV96" s="2"/>
      <c r="BW96" s="57"/>
      <c r="BX96" s="57"/>
    </row>
    <row r="97" spans="1:76" ht="14.25" customHeight="1" x14ac:dyDescent="0.6">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18"/>
      <c r="BA97" s="18"/>
      <c r="BB97" s="18"/>
      <c r="BC97" s="18"/>
      <c r="BD97" s="2"/>
      <c r="BE97" s="2"/>
      <c r="BF97" s="2"/>
      <c r="BG97" s="2"/>
      <c r="BH97" s="91">
        <f t="shared" si="11"/>
        <v>46388</v>
      </c>
      <c r="BI97" s="91">
        <f t="shared" si="12"/>
        <v>46752</v>
      </c>
      <c r="BJ97" s="92">
        <f t="shared" si="13"/>
        <v>25</v>
      </c>
      <c r="BK97" s="93">
        <f t="shared" si="14"/>
        <v>122.372224</v>
      </c>
      <c r="BL97" s="94">
        <f t="shared" si="15"/>
        <v>3059.3056000000001</v>
      </c>
      <c r="BM97" s="76">
        <f t="shared" si="7"/>
        <v>0</v>
      </c>
      <c r="BN97" s="77">
        <f t="shared" si="8"/>
        <v>0</v>
      </c>
      <c r="BO97" s="78">
        <f t="shared" si="9"/>
        <v>0</v>
      </c>
      <c r="BP97" s="99" t="str">
        <f t="shared" si="10"/>
        <v/>
      </c>
      <c r="BQ97" s="70">
        <v>0.36399999999999999</v>
      </c>
      <c r="BR97" s="2"/>
      <c r="BS97" s="2"/>
      <c r="BT97" s="2"/>
      <c r="BU97" s="2"/>
      <c r="BV97" s="2"/>
      <c r="BW97" s="57"/>
      <c r="BX97" s="57"/>
    </row>
    <row r="98" spans="1:76" ht="14.25" customHeight="1" x14ac:dyDescent="0.6">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18"/>
      <c r="BA98" s="18"/>
      <c r="BB98" s="18"/>
      <c r="BC98" s="18"/>
      <c r="BD98" s="2"/>
      <c r="BE98" s="2"/>
      <c r="BF98" s="2"/>
      <c r="BG98" s="2"/>
      <c r="BH98" s="91">
        <f t="shared" si="11"/>
        <v>46753</v>
      </c>
      <c r="BI98" s="91">
        <f t="shared" si="12"/>
        <v>47118</v>
      </c>
      <c r="BJ98" s="92">
        <f t="shared" si="13"/>
        <v>25</v>
      </c>
      <c r="BK98" s="93">
        <f t="shared" si="14"/>
        <v>127.26711296000001</v>
      </c>
      <c r="BL98" s="94">
        <f t="shared" si="15"/>
        <v>3181.6778240000003</v>
      </c>
      <c r="BM98" s="76">
        <f t="shared" si="7"/>
        <v>0</v>
      </c>
      <c r="BN98" s="77">
        <f t="shared" si="8"/>
        <v>0</v>
      </c>
      <c r="BO98" s="78">
        <f t="shared" si="9"/>
        <v>0</v>
      </c>
      <c r="BP98" s="99" t="str">
        <f t="shared" si="10"/>
        <v/>
      </c>
      <c r="BQ98" s="70">
        <v>0.36399999999999999</v>
      </c>
      <c r="BR98" s="2"/>
      <c r="BS98" s="2"/>
      <c r="BT98" s="2"/>
      <c r="BU98" s="2"/>
      <c r="BV98" s="2"/>
      <c r="BW98" s="57"/>
      <c r="BX98" s="57"/>
    </row>
    <row r="99" spans="1:76" ht="14.25" customHeight="1" x14ac:dyDescent="0.6">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18"/>
      <c r="BA99" s="18"/>
      <c r="BB99" s="18"/>
      <c r="BC99" s="18"/>
      <c r="BD99" s="2"/>
      <c r="BE99" s="2"/>
      <c r="BF99" s="2"/>
      <c r="BG99" s="2"/>
      <c r="BH99" s="91">
        <f t="shared" si="11"/>
        <v>47119</v>
      </c>
      <c r="BI99" s="91">
        <f t="shared" si="12"/>
        <v>47483</v>
      </c>
      <c r="BJ99" s="92">
        <f t="shared" si="13"/>
        <v>25</v>
      </c>
      <c r="BK99" s="93">
        <f t="shared" si="14"/>
        <v>132.35779747840002</v>
      </c>
      <c r="BL99" s="94">
        <f t="shared" si="15"/>
        <v>3308.9449369600006</v>
      </c>
      <c r="BM99" s="76">
        <f t="shared" si="7"/>
        <v>0</v>
      </c>
      <c r="BN99" s="77">
        <f t="shared" si="8"/>
        <v>0</v>
      </c>
      <c r="BO99" s="78">
        <f t="shared" si="9"/>
        <v>0</v>
      </c>
      <c r="BP99" s="99" t="str">
        <f t="shared" si="10"/>
        <v/>
      </c>
      <c r="BQ99" s="70">
        <v>0.36399999999999999</v>
      </c>
      <c r="BR99" s="2"/>
      <c r="BS99" s="2"/>
      <c r="BT99" s="2"/>
      <c r="BU99" s="2"/>
      <c r="BV99" s="2"/>
      <c r="BW99" s="57"/>
      <c r="BX99" s="57"/>
    </row>
    <row r="100" spans="1:76" ht="14.25" customHeight="1" x14ac:dyDescent="0.6">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18"/>
      <c r="BA100" s="18"/>
      <c r="BB100" s="18"/>
      <c r="BC100" s="18"/>
      <c r="BD100" s="2"/>
      <c r="BE100" s="2"/>
      <c r="BF100" s="2"/>
      <c r="BG100" s="2"/>
      <c r="BH100" s="91">
        <f t="shared" si="11"/>
        <v>47484</v>
      </c>
      <c r="BI100" s="91">
        <f t="shared" si="12"/>
        <v>47848</v>
      </c>
      <c r="BJ100" s="92">
        <f t="shared" si="13"/>
        <v>25</v>
      </c>
      <c r="BK100" s="93">
        <f t="shared" si="14"/>
        <v>137.65210937753602</v>
      </c>
      <c r="BL100" s="94">
        <f t="shared" si="15"/>
        <v>3441.3027344384004</v>
      </c>
      <c r="BM100" s="76">
        <f t="shared" si="7"/>
        <v>0</v>
      </c>
      <c r="BN100" s="77">
        <f t="shared" si="8"/>
        <v>0</v>
      </c>
      <c r="BO100" s="78">
        <f t="shared" si="9"/>
        <v>0</v>
      </c>
      <c r="BP100" s="99" t="str">
        <f t="shared" si="10"/>
        <v/>
      </c>
      <c r="BQ100" s="70">
        <v>0.36399999999999999</v>
      </c>
      <c r="BR100" s="2"/>
      <c r="BS100" s="2"/>
      <c r="BT100" s="2"/>
      <c r="BU100" s="2"/>
      <c r="BV100" s="2"/>
      <c r="BW100" s="57"/>
      <c r="BX100" s="57"/>
    </row>
    <row r="101" spans="1:76" ht="14.25" customHeight="1" x14ac:dyDescent="0.6">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18"/>
      <c r="BA101" s="18"/>
      <c r="BB101" s="18"/>
      <c r="BC101" s="18"/>
      <c r="BD101" s="2"/>
      <c r="BE101" s="2"/>
      <c r="BF101" s="2"/>
      <c r="BG101" s="2"/>
      <c r="BH101" s="91">
        <f t="shared" si="11"/>
        <v>47849</v>
      </c>
      <c r="BI101" s="91">
        <f t="shared" si="12"/>
        <v>48213</v>
      </c>
      <c r="BJ101" s="92">
        <f t="shared" si="13"/>
        <v>25</v>
      </c>
      <c r="BK101" s="93">
        <f t="shared" si="14"/>
        <v>143.15819375263746</v>
      </c>
      <c r="BL101" s="94">
        <f t="shared" si="15"/>
        <v>3578.9548438159363</v>
      </c>
      <c r="BM101" s="76">
        <f t="shared" si="7"/>
        <v>0</v>
      </c>
      <c r="BN101" s="77">
        <f t="shared" si="8"/>
        <v>0</v>
      </c>
      <c r="BO101" s="78">
        <f t="shared" si="9"/>
        <v>0</v>
      </c>
      <c r="BP101" s="99" t="str">
        <f t="shared" si="10"/>
        <v/>
      </c>
      <c r="BQ101" s="70">
        <v>0.36399999999999999</v>
      </c>
      <c r="BR101" s="2"/>
      <c r="BS101" s="2"/>
      <c r="BT101" s="2"/>
      <c r="BU101" s="2"/>
      <c r="BV101" s="2"/>
      <c r="BW101" s="57"/>
      <c r="BX101" s="57"/>
    </row>
    <row r="102" spans="1:76" ht="14.25" customHeight="1" x14ac:dyDescent="0.6">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18"/>
      <c r="BA102" s="18"/>
      <c r="BB102" s="18"/>
      <c r="BC102" s="18"/>
      <c r="BD102" s="2"/>
      <c r="BE102" s="2"/>
      <c r="BF102" s="2"/>
      <c r="BG102" s="2"/>
      <c r="BH102" s="91">
        <f t="shared" si="11"/>
        <v>48214</v>
      </c>
      <c r="BI102" s="91">
        <f t="shared" si="12"/>
        <v>48579</v>
      </c>
      <c r="BJ102" s="92">
        <f t="shared" si="13"/>
        <v>25</v>
      </c>
      <c r="BK102" s="93">
        <f t="shared" si="14"/>
        <v>148.88452150274296</v>
      </c>
      <c r="BL102" s="94">
        <f t="shared" si="15"/>
        <v>3722.1130375685739</v>
      </c>
      <c r="BM102" s="76">
        <f t="shared" si="7"/>
        <v>0</v>
      </c>
      <c r="BN102" s="77">
        <f t="shared" si="8"/>
        <v>0</v>
      </c>
      <c r="BO102" s="78">
        <f t="shared" si="9"/>
        <v>0</v>
      </c>
      <c r="BP102" s="99" t="str">
        <f t="shared" si="10"/>
        <v/>
      </c>
      <c r="BQ102" s="2"/>
      <c r="BR102" s="2"/>
      <c r="BS102" s="2"/>
      <c r="BT102" s="2"/>
      <c r="BU102" s="2"/>
      <c r="BV102" s="2"/>
      <c r="BW102" s="57"/>
      <c r="BX102" s="57"/>
    </row>
    <row r="103" spans="1:76" ht="14.25" customHeight="1" x14ac:dyDescent="0.6">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18"/>
      <c r="BA103" s="18"/>
      <c r="BB103" s="18"/>
      <c r="BC103" s="18"/>
      <c r="BD103" s="2"/>
      <c r="BE103" s="2"/>
      <c r="BF103" s="2"/>
      <c r="BG103" s="2"/>
      <c r="BH103" s="91">
        <f t="shared" si="11"/>
        <v>48580</v>
      </c>
      <c r="BI103" s="91">
        <f t="shared" si="12"/>
        <v>48944</v>
      </c>
      <c r="BJ103" s="92">
        <f t="shared" si="13"/>
        <v>25</v>
      </c>
      <c r="BK103" s="93">
        <f t="shared" si="14"/>
        <v>154.83990236285268</v>
      </c>
      <c r="BL103" s="94">
        <f t="shared" si="15"/>
        <v>3870.997559071317</v>
      </c>
      <c r="BM103" s="76">
        <f t="shared" si="7"/>
        <v>0</v>
      </c>
      <c r="BN103" s="77">
        <f t="shared" si="8"/>
        <v>0</v>
      </c>
      <c r="BO103" s="78">
        <f t="shared" si="9"/>
        <v>0</v>
      </c>
      <c r="BP103" s="99" t="str">
        <f t="shared" si="10"/>
        <v/>
      </c>
      <c r="BQ103" s="2"/>
      <c r="BR103" s="29"/>
      <c r="BS103" s="2"/>
      <c r="BT103" s="2"/>
      <c r="BU103" s="2"/>
      <c r="BV103" s="2"/>
      <c r="BW103" s="57"/>
      <c r="BX103" s="57"/>
    </row>
    <row r="104" spans="1:76" ht="14.25" customHeight="1" x14ac:dyDescent="0.6">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18"/>
      <c r="BA104" s="18"/>
      <c r="BB104" s="18"/>
      <c r="BC104" s="18"/>
      <c r="BD104" s="2"/>
      <c r="BE104" s="2"/>
      <c r="BF104" s="2"/>
      <c r="BG104" s="2"/>
      <c r="BH104" s="91">
        <f t="shared" si="11"/>
        <v>48945</v>
      </c>
      <c r="BI104" s="91">
        <f t="shared" si="12"/>
        <v>49309</v>
      </c>
      <c r="BJ104" s="92">
        <f t="shared" si="13"/>
        <v>25</v>
      </c>
      <c r="BK104" s="93">
        <f t="shared" si="14"/>
        <v>161.03349845736679</v>
      </c>
      <c r="BL104" s="94">
        <f t="shared" si="15"/>
        <v>4025.8374614341697</v>
      </c>
      <c r="BM104" s="76">
        <f t="shared" si="7"/>
        <v>0</v>
      </c>
      <c r="BN104" s="77">
        <f t="shared" si="8"/>
        <v>0</v>
      </c>
      <c r="BO104" s="78">
        <f t="shared" si="9"/>
        <v>0</v>
      </c>
      <c r="BP104" s="99" t="str">
        <f t="shared" si="10"/>
        <v/>
      </c>
      <c r="BQ104" s="2"/>
      <c r="BR104" s="29"/>
      <c r="BS104" s="2"/>
      <c r="BT104" s="2"/>
      <c r="BU104" s="2"/>
      <c r="BV104" s="2"/>
      <c r="BW104" s="57"/>
      <c r="BX104" s="57"/>
    </row>
    <row r="105" spans="1:76" ht="14.25" customHeight="1" x14ac:dyDescent="0.6">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18"/>
      <c r="BA105" s="18"/>
      <c r="BB105" s="18"/>
      <c r="BC105" s="18"/>
      <c r="BD105" s="2"/>
      <c r="BE105" s="2"/>
      <c r="BF105" s="2"/>
      <c r="BG105" s="2"/>
      <c r="BH105" s="91">
        <f t="shared" si="11"/>
        <v>49310</v>
      </c>
      <c r="BI105" s="91">
        <f t="shared" si="12"/>
        <v>49674</v>
      </c>
      <c r="BJ105" s="92">
        <f t="shared" si="13"/>
        <v>25</v>
      </c>
      <c r="BK105" s="93">
        <f t="shared" si="14"/>
        <v>167.47483839566146</v>
      </c>
      <c r="BL105" s="94">
        <f t="shared" si="15"/>
        <v>4186.8709598915366</v>
      </c>
      <c r="BM105" s="76">
        <f t="shared" si="7"/>
        <v>0</v>
      </c>
      <c r="BN105" s="77">
        <f t="shared" si="8"/>
        <v>0</v>
      </c>
      <c r="BO105" s="78">
        <f t="shared" si="9"/>
        <v>0</v>
      </c>
      <c r="BP105" s="99" t="str">
        <f t="shared" si="10"/>
        <v/>
      </c>
      <c r="BQ105" s="2"/>
      <c r="BR105" s="2"/>
      <c r="BS105" s="2"/>
      <c r="BT105" s="2"/>
      <c r="BU105" s="2"/>
      <c r="BV105" s="2"/>
      <c r="BW105" s="57"/>
      <c r="BX105" s="57"/>
    </row>
    <row r="106" spans="1:76" ht="14.25" customHeight="1" x14ac:dyDescent="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18"/>
      <c r="BA106" s="18"/>
      <c r="BB106" s="18"/>
      <c r="BC106" s="18"/>
      <c r="BD106" s="2"/>
      <c r="BE106" s="2"/>
      <c r="BF106" s="2"/>
      <c r="BG106" s="2"/>
      <c r="BH106" s="91">
        <f t="shared" si="11"/>
        <v>49675</v>
      </c>
      <c r="BI106" s="91">
        <f t="shared" si="12"/>
        <v>50040</v>
      </c>
      <c r="BJ106" s="92">
        <f t="shared" si="13"/>
        <v>25</v>
      </c>
      <c r="BK106" s="93">
        <f t="shared" si="14"/>
        <v>174.17383193148794</v>
      </c>
      <c r="BL106" s="94">
        <f t="shared" si="15"/>
        <v>4354.3457982871987</v>
      </c>
      <c r="BM106" s="76">
        <f t="shared" si="7"/>
        <v>0</v>
      </c>
      <c r="BN106" s="77">
        <f t="shared" si="8"/>
        <v>0</v>
      </c>
      <c r="BO106" s="78">
        <f t="shared" si="9"/>
        <v>0</v>
      </c>
      <c r="BP106" s="99" t="str">
        <f t="shared" si="10"/>
        <v/>
      </c>
      <c r="BQ106" s="2"/>
      <c r="BR106" s="2"/>
      <c r="BS106" s="2"/>
      <c r="BT106" s="2"/>
      <c r="BU106" s="2"/>
      <c r="BV106" s="2"/>
      <c r="BW106" s="57"/>
      <c r="BX106" s="57"/>
    </row>
    <row r="107" spans="1:76" ht="14.25" customHeight="1" x14ac:dyDescent="0.6">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18"/>
      <c r="BA107" s="18"/>
      <c r="BB107" s="18"/>
      <c r="BC107" s="18"/>
      <c r="BD107" s="2"/>
      <c r="BE107" s="2"/>
      <c r="BF107" s="2"/>
      <c r="BG107" s="2"/>
      <c r="BH107" s="91">
        <f t="shared" si="11"/>
        <v>50041</v>
      </c>
      <c r="BI107" s="91">
        <f t="shared" si="12"/>
        <v>50405</v>
      </c>
      <c r="BJ107" s="92">
        <f t="shared" si="13"/>
        <v>25</v>
      </c>
      <c r="BK107" s="93">
        <f t="shared" si="14"/>
        <v>181.14078520874747</v>
      </c>
      <c r="BL107" s="94">
        <f t="shared" si="15"/>
        <v>4528.5196302186869</v>
      </c>
      <c r="BM107" s="76">
        <f t="shared" si="7"/>
        <v>0</v>
      </c>
      <c r="BN107" s="77">
        <f t="shared" si="8"/>
        <v>0</v>
      </c>
      <c r="BO107" s="78">
        <f t="shared" si="9"/>
        <v>0</v>
      </c>
      <c r="BP107" s="99" t="str">
        <f t="shared" si="10"/>
        <v/>
      </c>
      <c r="BQ107" s="2"/>
      <c r="BR107" s="2"/>
      <c r="BS107" s="2"/>
      <c r="BT107" s="2"/>
      <c r="BU107" s="2"/>
      <c r="BV107" s="2"/>
      <c r="BW107" s="57"/>
      <c r="BX107" s="57"/>
    </row>
    <row r="108" spans="1:76" ht="14.25" customHeight="1" x14ac:dyDescent="0.6">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18"/>
      <c r="BA108" s="18"/>
      <c r="BB108" s="18"/>
      <c r="BC108" s="18"/>
      <c r="BD108" s="2"/>
      <c r="BE108" s="2"/>
      <c r="BF108" s="2"/>
      <c r="BG108" s="2"/>
      <c r="BH108" s="91">
        <f t="shared" si="11"/>
        <v>50406</v>
      </c>
      <c r="BI108" s="91">
        <f t="shared" si="12"/>
        <v>50770</v>
      </c>
      <c r="BJ108" s="92">
        <f t="shared" si="13"/>
        <v>25</v>
      </c>
      <c r="BK108" s="93">
        <f t="shared" si="14"/>
        <v>188.38641661709738</v>
      </c>
      <c r="BL108" s="94">
        <f t="shared" si="15"/>
        <v>4709.6604154274346</v>
      </c>
      <c r="BM108" s="76">
        <f t="shared" si="7"/>
        <v>0</v>
      </c>
      <c r="BN108" s="77">
        <f t="shared" si="8"/>
        <v>0</v>
      </c>
      <c r="BO108" s="78">
        <f t="shared" si="9"/>
        <v>0</v>
      </c>
      <c r="BP108" s="99" t="str">
        <f t="shared" si="10"/>
        <v/>
      </c>
      <c r="BQ108" s="2"/>
      <c r="BR108" s="2"/>
      <c r="BS108" s="2"/>
      <c r="BT108" s="2"/>
      <c r="BU108" s="2"/>
      <c r="BV108" s="2"/>
      <c r="BW108" s="57"/>
      <c r="BX108" s="57"/>
    </row>
    <row r="109" spans="1:76" ht="14.25" customHeight="1" x14ac:dyDescent="0.6">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18"/>
      <c r="BA109" s="18"/>
      <c r="BB109" s="18"/>
      <c r="BC109" s="18"/>
      <c r="BD109" s="2"/>
      <c r="BE109" s="2"/>
      <c r="BF109" s="2"/>
      <c r="BG109" s="2"/>
      <c r="BH109" s="91">
        <f t="shared" si="11"/>
        <v>50771</v>
      </c>
      <c r="BI109" s="91">
        <f t="shared" si="12"/>
        <v>51135</v>
      </c>
      <c r="BJ109" s="92">
        <f t="shared" si="13"/>
        <v>25</v>
      </c>
      <c r="BK109" s="93">
        <f t="shared" si="14"/>
        <v>195.92187328178127</v>
      </c>
      <c r="BL109" s="94">
        <f t="shared" si="15"/>
        <v>4898.0468320445316</v>
      </c>
      <c r="BM109" s="76">
        <f t="shared" si="7"/>
        <v>0</v>
      </c>
      <c r="BN109" s="77">
        <f t="shared" si="8"/>
        <v>0</v>
      </c>
      <c r="BO109" s="78">
        <f t="shared" si="9"/>
        <v>0</v>
      </c>
      <c r="BP109" s="99" t="str">
        <f t="shared" si="10"/>
        <v/>
      </c>
      <c r="BQ109" s="2"/>
      <c r="BR109" s="2"/>
      <c r="BS109" s="2"/>
      <c r="BT109" s="2"/>
      <c r="BU109" s="2"/>
      <c r="BV109" s="2"/>
      <c r="BW109" s="57"/>
      <c r="BX109" s="57"/>
    </row>
    <row r="110" spans="1:76" ht="14.25" customHeight="1" x14ac:dyDescent="0.6">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18"/>
      <c r="BA110" s="18"/>
      <c r="BB110" s="18"/>
      <c r="BC110" s="18"/>
      <c r="BD110" s="2"/>
      <c r="BE110" s="2"/>
      <c r="BF110" s="2"/>
      <c r="BG110" s="2"/>
      <c r="BH110" s="91">
        <f t="shared" si="11"/>
        <v>51136</v>
      </c>
      <c r="BI110" s="91">
        <f t="shared" si="12"/>
        <v>51501</v>
      </c>
      <c r="BJ110" s="92">
        <f t="shared" si="13"/>
        <v>25</v>
      </c>
      <c r="BK110" s="93">
        <f t="shared" si="14"/>
        <v>203.75874821305254</v>
      </c>
      <c r="BL110" s="94">
        <f t="shared" si="15"/>
        <v>5093.9687053263133</v>
      </c>
      <c r="BM110" s="76">
        <f t="shared" si="7"/>
        <v>0</v>
      </c>
      <c r="BN110" s="77">
        <f t="shared" si="8"/>
        <v>0</v>
      </c>
      <c r="BO110" s="78">
        <f t="shared" si="9"/>
        <v>0</v>
      </c>
      <c r="BP110" s="99" t="str">
        <f t="shared" si="10"/>
        <v/>
      </c>
      <c r="BQ110" s="2"/>
      <c r="BR110" s="2"/>
      <c r="BS110" s="2"/>
      <c r="BT110" s="2"/>
      <c r="BU110" s="2"/>
      <c r="BV110" s="2"/>
      <c r="BW110" s="57"/>
      <c r="BX110" s="57"/>
    </row>
    <row r="111" spans="1:76" ht="14.25" customHeight="1" x14ac:dyDescent="0.6">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18"/>
      <c r="BA111" s="18"/>
      <c r="BB111" s="18"/>
      <c r="BC111" s="18"/>
      <c r="BD111" s="2"/>
      <c r="BE111" s="2"/>
      <c r="BF111" s="2"/>
      <c r="BG111" s="2"/>
      <c r="BH111" s="91">
        <f t="shared" si="11"/>
        <v>51502</v>
      </c>
      <c r="BI111" s="91">
        <f t="shared" si="12"/>
        <v>51866</v>
      </c>
      <c r="BJ111" s="92">
        <f t="shared" si="13"/>
        <v>25</v>
      </c>
      <c r="BK111" s="93">
        <f t="shared" si="14"/>
        <v>211.90909814157465</v>
      </c>
      <c r="BL111" s="94">
        <f t="shared" si="15"/>
        <v>5297.7274535393663</v>
      </c>
      <c r="BM111" s="76">
        <f t="shared" si="7"/>
        <v>0</v>
      </c>
      <c r="BN111" s="77">
        <f t="shared" si="8"/>
        <v>0</v>
      </c>
      <c r="BO111" s="78">
        <f t="shared" si="9"/>
        <v>0</v>
      </c>
      <c r="BP111" s="99" t="str">
        <f t="shared" si="10"/>
        <v/>
      </c>
      <c r="BQ111" s="2"/>
      <c r="BR111" s="2"/>
      <c r="BS111" s="2"/>
      <c r="BT111" s="2"/>
      <c r="BU111" s="2"/>
      <c r="BV111" s="2"/>
      <c r="BW111" s="57"/>
      <c r="BX111" s="57"/>
    </row>
    <row r="112" spans="1:76" ht="14.25" customHeight="1" x14ac:dyDescent="0.6">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18"/>
      <c r="BA112" s="18"/>
      <c r="BB112" s="18"/>
      <c r="BC112" s="18"/>
      <c r="BD112" s="2"/>
      <c r="BE112" s="2"/>
      <c r="BF112" s="2"/>
      <c r="BG112" s="2"/>
      <c r="BH112" s="91">
        <f t="shared" si="11"/>
        <v>51867</v>
      </c>
      <c r="BI112" s="91">
        <f t="shared" si="12"/>
        <v>52231</v>
      </c>
      <c r="BJ112" s="92">
        <f t="shared" si="13"/>
        <v>25</v>
      </c>
      <c r="BK112" s="93">
        <f t="shared" si="14"/>
        <v>220.38546206723763</v>
      </c>
      <c r="BL112" s="94">
        <f t="shared" si="15"/>
        <v>5509.636551680941</v>
      </c>
      <c r="BM112" s="76">
        <f t="shared" si="7"/>
        <v>0</v>
      </c>
      <c r="BN112" s="77">
        <f t="shared" si="8"/>
        <v>0</v>
      </c>
      <c r="BO112" s="78">
        <f t="shared" si="9"/>
        <v>0</v>
      </c>
      <c r="BP112" s="99" t="str">
        <f t="shared" si="10"/>
        <v/>
      </c>
      <c r="BQ112" s="2"/>
      <c r="BR112" s="2"/>
      <c r="BS112" s="2"/>
      <c r="BT112" s="2"/>
      <c r="BU112" s="2"/>
      <c r="BV112" s="2"/>
      <c r="BW112" s="57"/>
      <c r="BX112" s="57"/>
    </row>
    <row r="113" spans="1:76" ht="14.25" customHeight="1" x14ac:dyDescent="0.6">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18"/>
      <c r="BA113" s="18"/>
      <c r="BB113" s="18"/>
      <c r="BC113" s="18"/>
      <c r="BD113" s="2"/>
      <c r="BE113" s="2"/>
      <c r="BF113" s="2"/>
      <c r="BG113" s="2"/>
      <c r="BH113" s="91">
        <f t="shared" si="11"/>
        <v>52232</v>
      </c>
      <c r="BI113" s="91">
        <f t="shared" si="12"/>
        <v>52596</v>
      </c>
      <c r="BJ113" s="92">
        <f t="shared" si="13"/>
        <v>25</v>
      </c>
      <c r="BK113" s="93">
        <f t="shared" si="14"/>
        <v>229.20088054992715</v>
      </c>
      <c r="BL113" s="94">
        <f t="shared" si="15"/>
        <v>5730.0220137481783</v>
      </c>
      <c r="BM113" s="76">
        <f t="shared" si="7"/>
        <v>0</v>
      </c>
      <c r="BN113" s="77">
        <f t="shared" si="8"/>
        <v>0</v>
      </c>
      <c r="BO113" s="78">
        <f t="shared" si="9"/>
        <v>0</v>
      </c>
      <c r="BP113" s="99" t="str">
        <f t="shared" si="10"/>
        <v/>
      </c>
      <c r="BQ113" s="2"/>
      <c r="BR113" s="2"/>
      <c r="BS113" s="2"/>
      <c r="BT113" s="2"/>
      <c r="BU113" s="2"/>
      <c r="BV113" s="2"/>
      <c r="BW113" s="57"/>
      <c r="BX113" s="57"/>
    </row>
    <row r="114" spans="1:76" ht="14.25" customHeight="1" x14ac:dyDescent="0.6">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18"/>
      <c r="BA114" s="18"/>
      <c r="BB114" s="18"/>
      <c r="BC114" s="18"/>
      <c r="BD114" s="2"/>
      <c r="BE114" s="2"/>
      <c r="BF114" s="2"/>
      <c r="BG114" s="2"/>
      <c r="BH114" s="91">
        <f t="shared" si="11"/>
        <v>52597</v>
      </c>
      <c r="BI114" s="91">
        <f t="shared" si="12"/>
        <v>52962</v>
      </c>
      <c r="BJ114" s="92">
        <f t="shared" si="13"/>
        <v>25</v>
      </c>
      <c r="BK114" s="93">
        <f t="shared" si="14"/>
        <v>238.36891577192424</v>
      </c>
      <c r="BL114" s="94">
        <f t="shared" si="15"/>
        <v>5959.2228942981055</v>
      </c>
      <c r="BM114" s="76">
        <f t="shared" si="7"/>
        <v>0</v>
      </c>
      <c r="BN114" s="77">
        <f t="shared" si="8"/>
        <v>0</v>
      </c>
      <c r="BO114" s="78">
        <f t="shared" si="9"/>
        <v>0</v>
      </c>
      <c r="BP114" s="99" t="str">
        <f t="shared" si="10"/>
        <v/>
      </c>
      <c r="BQ114" s="2"/>
      <c r="BR114" s="2"/>
      <c r="BS114" s="2"/>
      <c r="BT114" s="2"/>
      <c r="BU114" s="2"/>
      <c r="BV114" s="2"/>
      <c r="BW114" s="57"/>
      <c r="BX114" s="57"/>
    </row>
    <row r="115" spans="1:76" ht="14.25" customHeight="1" x14ac:dyDescent="0.6">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18"/>
      <c r="BA115" s="18"/>
      <c r="BB115" s="18"/>
      <c r="BC115" s="18"/>
      <c r="BD115" s="2"/>
      <c r="BE115" s="2"/>
      <c r="BF115" s="2"/>
      <c r="BG115" s="2"/>
      <c r="BH115" s="91">
        <f t="shared" si="11"/>
        <v>52963</v>
      </c>
      <c r="BI115" s="91">
        <f t="shared" si="12"/>
        <v>53327</v>
      </c>
      <c r="BJ115" s="92">
        <f t="shared" si="13"/>
        <v>25</v>
      </c>
      <c r="BK115" s="93">
        <f t="shared" si="14"/>
        <v>247.90367240280122</v>
      </c>
      <c r="BL115" s="94">
        <f t="shared" si="15"/>
        <v>6197.5918100700301</v>
      </c>
      <c r="BM115" s="76">
        <f t="shared" si="7"/>
        <v>0</v>
      </c>
      <c r="BN115" s="77">
        <f t="shared" si="8"/>
        <v>0</v>
      </c>
      <c r="BO115" s="78">
        <f t="shared" si="9"/>
        <v>0</v>
      </c>
      <c r="BP115" s="99" t="str">
        <f t="shared" si="10"/>
        <v/>
      </c>
      <c r="BQ115" s="2"/>
      <c r="BR115" s="2"/>
      <c r="BS115" s="2"/>
      <c r="BT115" s="2"/>
      <c r="BU115" s="2"/>
      <c r="BV115" s="2"/>
      <c r="BW115" s="57"/>
      <c r="BX115" s="57"/>
    </row>
    <row r="116" spans="1:76" ht="14.25" customHeight="1" x14ac:dyDescent="0.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18"/>
      <c r="BA116" s="18"/>
      <c r="BB116" s="18"/>
      <c r="BC116" s="18"/>
      <c r="BD116" s="2"/>
      <c r="BE116" s="2"/>
      <c r="BF116" s="2"/>
      <c r="BG116" s="2"/>
      <c r="BH116" s="91">
        <f t="shared" si="11"/>
        <v>53328</v>
      </c>
      <c r="BI116" s="91">
        <f t="shared" si="12"/>
        <v>53692</v>
      </c>
      <c r="BJ116" s="92">
        <f t="shared" si="13"/>
        <v>25</v>
      </c>
      <c r="BK116" s="93">
        <f t="shared" si="14"/>
        <v>257.81981929891327</v>
      </c>
      <c r="BL116" s="94">
        <f t="shared" si="15"/>
        <v>6445.495482472832</v>
      </c>
      <c r="BM116" s="76">
        <f t="shared" si="7"/>
        <v>0</v>
      </c>
      <c r="BN116" s="77">
        <f t="shared" si="8"/>
        <v>0</v>
      </c>
      <c r="BO116" s="78">
        <f t="shared" si="9"/>
        <v>0</v>
      </c>
      <c r="BP116" s="99" t="str">
        <f t="shared" si="10"/>
        <v/>
      </c>
      <c r="BQ116" s="2"/>
      <c r="BR116" s="2"/>
      <c r="BS116" s="2"/>
      <c r="BT116" s="2"/>
      <c r="BU116" s="2"/>
      <c r="BV116" s="2"/>
      <c r="BW116" s="57"/>
      <c r="BX116" s="57"/>
    </row>
    <row r="117" spans="1:76" ht="14.25" customHeight="1" x14ac:dyDescent="0.6">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18"/>
      <c r="BA117" s="18"/>
      <c r="BB117" s="18"/>
      <c r="BC117" s="18"/>
      <c r="BD117" s="2"/>
      <c r="BE117" s="2"/>
      <c r="BF117" s="2"/>
      <c r="BG117" s="2"/>
      <c r="BH117" s="91">
        <f t="shared" si="11"/>
        <v>53693</v>
      </c>
      <c r="BI117" s="91">
        <f t="shared" si="12"/>
        <v>54057</v>
      </c>
      <c r="BJ117" s="92">
        <f t="shared" si="13"/>
        <v>25</v>
      </c>
      <c r="BK117" s="93">
        <f t="shared" si="14"/>
        <v>268.13261207086981</v>
      </c>
      <c r="BL117" s="94">
        <f t="shared" si="15"/>
        <v>6703.315301771745</v>
      </c>
      <c r="BM117" s="76">
        <f t="shared" si="7"/>
        <v>0</v>
      </c>
      <c r="BN117" s="77">
        <f t="shared" si="8"/>
        <v>0</v>
      </c>
      <c r="BO117" s="78">
        <f t="shared" si="9"/>
        <v>0</v>
      </c>
      <c r="BP117" s="99" t="str">
        <f t="shared" si="10"/>
        <v/>
      </c>
      <c r="BQ117" s="2"/>
      <c r="BR117" s="2"/>
      <c r="BS117" s="2"/>
      <c r="BT117" s="2"/>
      <c r="BU117" s="2"/>
      <c r="BV117" s="2"/>
      <c r="BW117" s="57"/>
      <c r="BX117" s="57"/>
    </row>
    <row r="118" spans="1:76" ht="14.25" customHeight="1" x14ac:dyDescent="0.6">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18"/>
      <c r="BA118" s="18"/>
      <c r="BB118" s="18"/>
      <c r="BC118" s="18"/>
      <c r="BD118" s="2"/>
      <c r="BE118" s="2"/>
      <c r="BF118" s="2"/>
      <c r="BG118" s="2"/>
      <c r="BH118" s="91">
        <f t="shared" si="11"/>
        <v>54058</v>
      </c>
      <c r="BI118" s="91">
        <f t="shared" si="12"/>
        <v>54423</v>
      </c>
      <c r="BJ118" s="92">
        <f t="shared" si="13"/>
        <v>25</v>
      </c>
      <c r="BK118" s="93">
        <f t="shared" si="14"/>
        <v>278.85791655370463</v>
      </c>
      <c r="BL118" s="94">
        <f t="shared" si="15"/>
        <v>6971.4479138426159</v>
      </c>
      <c r="BM118" s="76">
        <f t="shared" si="7"/>
        <v>0</v>
      </c>
      <c r="BN118" s="77">
        <f t="shared" si="8"/>
        <v>0</v>
      </c>
      <c r="BO118" s="78">
        <f t="shared" si="9"/>
        <v>0</v>
      </c>
      <c r="BP118" s="99" t="str">
        <f t="shared" si="10"/>
        <v/>
      </c>
      <c r="BQ118" s="2"/>
      <c r="BR118" s="2"/>
      <c r="BS118" s="2"/>
      <c r="BT118" s="2"/>
      <c r="BU118" s="2"/>
      <c r="BV118" s="2"/>
      <c r="BW118" s="57"/>
      <c r="BX118" s="57"/>
    </row>
    <row r="119" spans="1:76" ht="14.25" customHeight="1" x14ac:dyDescent="0.6">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18"/>
      <c r="BA119" s="18"/>
      <c r="BB119" s="18"/>
      <c r="BC119" s="18"/>
      <c r="BD119" s="2"/>
      <c r="BE119" s="2"/>
      <c r="BF119" s="2"/>
      <c r="BG119" s="2"/>
      <c r="BH119" s="91">
        <f t="shared" si="11"/>
        <v>54424</v>
      </c>
      <c r="BI119" s="91">
        <f t="shared" si="12"/>
        <v>54788</v>
      </c>
      <c r="BJ119" s="92">
        <f t="shared" si="13"/>
        <v>25</v>
      </c>
      <c r="BK119" s="93">
        <f t="shared" si="14"/>
        <v>290.0122332158528</v>
      </c>
      <c r="BL119" s="94">
        <f t="shared" si="15"/>
        <v>7250.3058303963198</v>
      </c>
      <c r="BM119" s="76">
        <f t="shared" si="7"/>
        <v>0</v>
      </c>
      <c r="BN119" s="77">
        <f t="shared" si="8"/>
        <v>0</v>
      </c>
      <c r="BO119" s="78">
        <f t="shared" si="9"/>
        <v>0</v>
      </c>
      <c r="BP119" s="99" t="str">
        <f t="shared" si="10"/>
        <v/>
      </c>
      <c r="BQ119" s="2"/>
      <c r="BR119" s="2"/>
      <c r="BS119" s="2"/>
      <c r="BT119" s="2"/>
      <c r="BU119" s="2"/>
      <c r="BV119" s="2"/>
      <c r="BW119" s="57"/>
      <c r="BX119" s="57"/>
    </row>
    <row r="120" spans="1:76" ht="14.25" customHeight="1" x14ac:dyDescent="0.6">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18"/>
      <c r="BA120" s="18"/>
      <c r="BB120" s="18"/>
      <c r="BC120" s="18"/>
      <c r="BD120" s="2"/>
      <c r="BE120" s="2"/>
      <c r="BF120" s="2"/>
      <c r="BG120" s="2"/>
      <c r="BH120" s="91">
        <f t="shared" si="11"/>
        <v>54789</v>
      </c>
      <c r="BI120" s="91">
        <f t="shared" si="12"/>
        <v>55153</v>
      </c>
      <c r="BJ120" s="92">
        <f t="shared" si="13"/>
        <v>25</v>
      </c>
      <c r="BK120" s="93">
        <f t="shared" si="14"/>
        <v>301.61272254448693</v>
      </c>
      <c r="BL120" s="94">
        <f t="shared" si="15"/>
        <v>7540.3180636121733</v>
      </c>
      <c r="BM120" s="76">
        <f t="shared" si="7"/>
        <v>0</v>
      </c>
      <c r="BN120" s="77">
        <f t="shared" si="8"/>
        <v>0</v>
      </c>
      <c r="BO120" s="78">
        <f t="shared" si="9"/>
        <v>0</v>
      </c>
      <c r="BP120" s="99" t="str">
        <f t="shared" si="10"/>
        <v/>
      </c>
      <c r="BQ120" s="2"/>
      <c r="BR120" s="2"/>
      <c r="BS120" s="2"/>
      <c r="BT120" s="2"/>
      <c r="BU120" s="2"/>
      <c r="BV120" s="2"/>
      <c r="BW120" s="57"/>
      <c r="BX120" s="57"/>
    </row>
    <row r="121" spans="1:76" ht="14.25" customHeight="1" x14ac:dyDescent="0.6">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18"/>
      <c r="BA121" s="18"/>
      <c r="BB121" s="18"/>
      <c r="BC121" s="18"/>
      <c r="BD121" s="2"/>
      <c r="BE121" s="2"/>
      <c r="BF121" s="2"/>
      <c r="BG121" s="2"/>
      <c r="BH121" s="91">
        <f t="shared" si="11"/>
        <v>55154</v>
      </c>
      <c r="BI121" s="91">
        <f t="shared" si="12"/>
        <v>55518</v>
      </c>
      <c r="BJ121" s="92">
        <f t="shared" si="13"/>
        <v>25</v>
      </c>
      <c r="BK121" s="93">
        <f t="shared" si="14"/>
        <v>313.67723144626643</v>
      </c>
      <c r="BL121" s="94">
        <f t="shared" si="15"/>
        <v>7841.9307861566613</v>
      </c>
      <c r="BM121" s="76">
        <f t="shared" si="7"/>
        <v>0</v>
      </c>
      <c r="BN121" s="77">
        <f t="shared" si="8"/>
        <v>0</v>
      </c>
      <c r="BO121" s="78">
        <f t="shared" si="9"/>
        <v>0</v>
      </c>
      <c r="BP121" s="99" t="str">
        <f t="shared" si="10"/>
        <v/>
      </c>
      <c r="BQ121" s="2"/>
      <c r="BR121" s="2"/>
      <c r="BS121" s="2"/>
      <c r="BT121" s="2"/>
      <c r="BU121" s="2"/>
      <c r="BV121" s="2"/>
      <c r="BW121" s="57"/>
      <c r="BX121" s="57"/>
    </row>
    <row r="122" spans="1:76" ht="14.25" customHeight="1" x14ac:dyDescent="0.6">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18"/>
      <c r="BA122" s="18"/>
      <c r="BB122" s="18"/>
      <c r="BC122" s="18"/>
      <c r="BD122" s="2"/>
      <c r="BE122" s="2"/>
      <c r="BF122" s="2"/>
      <c r="BG122" s="2"/>
      <c r="BH122" s="91">
        <f t="shared" si="11"/>
        <v>55519</v>
      </c>
      <c r="BI122" s="91">
        <f t="shared" si="12"/>
        <v>55884</v>
      </c>
      <c r="BJ122" s="92">
        <f t="shared" si="13"/>
        <v>25</v>
      </c>
      <c r="BK122" s="93">
        <f t="shared" si="14"/>
        <v>326.22432070411708</v>
      </c>
      <c r="BL122" s="94">
        <f t="shared" si="15"/>
        <v>8155.6080176029272</v>
      </c>
      <c r="BM122" s="76">
        <f t="shared" si="7"/>
        <v>0</v>
      </c>
      <c r="BN122" s="77">
        <f t="shared" si="8"/>
        <v>0</v>
      </c>
      <c r="BO122" s="78">
        <f t="shared" si="9"/>
        <v>0</v>
      </c>
      <c r="BP122" s="99" t="str">
        <f t="shared" si="10"/>
        <v/>
      </c>
      <c r="BQ122" s="2"/>
      <c r="BR122" s="2"/>
      <c r="BS122" s="2"/>
      <c r="BT122" s="2"/>
      <c r="BU122" s="2"/>
      <c r="BV122" s="2"/>
      <c r="BW122" s="57"/>
      <c r="BX122" s="57"/>
    </row>
    <row r="123" spans="1:76" ht="14.25" customHeight="1" x14ac:dyDescent="0.6">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18"/>
      <c r="BA123" s="18"/>
      <c r="BB123" s="18"/>
      <c r="BC123" s="18"/>
      <c r="BD123" s="2"/>
      <c r="BE123" s="2"/>
      <c r="BF123" s="2"/>
      <c r="BG123" s="2"/>
      <c r="BH123" s="91">
        <f t="shared" si="11"/>
        <v>55885</v>
      </c>
      <c r="BI123" s="91">
        <f t="shared" si="12"/>
        <v>56249</v>
      </c>
      <c r="BJ123" s="92">
        <f t="shared" si="13"/>
        <v>25</v>
      </c>
      <c r="BK123" s="93">
        <f t="shared" si="14"/>
        <v>339.2732935322818</v>
      </c>
      <c r="BL123" s="94">
        <f t="shared" si="15"/>
        <v>8481.8323383070456</v>
      </c>
      <c r="BM123" s="76">
        <f t="shared" si="7"/>
        <v>0</v>
      </c>
      <c r="BN123" s="77">
        <f t="shared" si="8"/>
        <v>0</v>
      </c>
      <c r="BO123" s="78">
        <f t="shared" si="9"/>
        <v>0</v>
      </c>
      <c r="BP123" s="99" t="str">
        <f t="shared" si="10"/>
        <v/>
      </c>
      <c r="BQ123" s="2"/>
      <c r="BR123" s="2"/>
      <c r="BS123" s="2"/>
      <c r="BT123" s="2"/>
      <c r="BU123" s="2"/>
      <c r="BV123" s="2"/>
      <c r="BW123" s="57"/>
      <c r="BX123" s="57"/>
    </row>
    <row r="124" spans="1:76" ht="14.25" customHeight="1" x14ac:dyDescent="0.6">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18"/>
      <c r="BA124" s="18"/>
      <c r="BB124" s="18"/>
      <c r="BC124" s="18"/>
      <c r="BD124" s="2"/>
      <c r="BE124" s="2"/>
      <c r="BF124" s="2"/>
      <c r="BG124" s="2"/>
      <c r="BH124" s="91">
        <f t="shared" si="11"/>
        <v>56250</v>
      </c>
      <c r="BI124" s="91">
        <f t="shared" si="12"/>
        <v>56614</v>
      </c>
      <c r="BJ124" s="92">
        <f t="shared" si="13"/>
        <v>25</v>
      </c>
      <c r="BK124" s="93">
        <f t="shared" si="14"/>
        <v>352.8442252735731</v>
      </c>
      <c r="BL124" s="94">
        <f t="shared" si="15"/>
        <v>8821.1056318393275</v>
      </c>
      <c r="BM124" s="76">
        <f t="shared" si="7"/>
        <v>0</v>
      </c>
      <c r="BN124" s="77">
        <f t="shared" si="8"/>
        <v>0</v>
      </c>
      <c r="BO124" s="78">
        <f t="shared" si="9"/>
        <v>0</v>
      </c>
      <c r="BP124" s="99" t="str">
        <f t="shared" si="10"/>
        <v/>
      </c>
      <c r="BQ124" s="2"/>
      <c r="BR124" s="2"/>
      <c r="BS124" s="2"/>
      <c r="BT124" s="2"/>
      <c r="BU124" s="2"/>
      <c r="BV124" s="2"/>
      <c r="BW124" s="57"/>
      <c r="BX124" s="57"/>
    </row>
    <row r="125" spans="1:76" ht="14.25" customHeight="1" x14ac:dyDescent="0.6">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18"/>
      <c r="BA125" s="18"/>
      <c r="BB125" s="18"/>
      <c r="BC125" s="18"/>
      <c r="BD125" s="2"/>
      <c r="BE125" s="2"/>
      <c r="BF125" s="2"/>
      <c r="BG125" s="2"/>
      <c r="BH125" s="91">
        <f t="shared" si="11"/>
        <v>56615</v>
      </c>
      <c r="BI125" s="91">
        <f t="shared" si="12"/>
        <v>56979</v>
      </c>
      <c r="BJ125" s="92">
        <f t="shared" si="13"/>
        <v>25</v>
      </c>
      <c r="BK125" s="93">
        <f t="shared" si="14"/>
        <v>366.95799428451602</v>
      </c>
      <c r="BL125" s="94">
        <f t="shared" si="15"/>
        <v>9173.9498571129006</v>
      </c>
      <c r="BM125" s="76">
        <f t="shared" si="7"/>
        <v>0</v>
      </c>
      <c r="BN125" s="77">
        <f t="shared" si="8"/>
        <v>0</v>
      </c>
      <c r="BO125" s="78">
        <f t="shared" si="9"/>
        <v>0</v>
      </c>
      <c r="BP125" s="99" t="str">
        <f t="shared" si="10"/>
        <v/>
      </c>
      <c r="BQ125" s="2"/>
      <c r="BR125" s="2"/>
      <c r="BS125" s="2"/>
      <c r="BT125" s="2"/>
      <c r="BU125" s="2"/>
      <c r="BV125" s="2"/>
      <c r="BW125" s="57"/>
      <c r="BX125" s="57"/>
    </row>
    <row r="126" spans="1:76" ht="14.25" customHeight="1" x14ac:dyDescent="0.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18"/>
      <c r="BA126" s="18"/>
      <c r="BB126" s="18"/>
      <c r="BC126" s="18"/>
      <c r="BD126" s="2"/>
      <c r="BE126" s="2"/>
      <c r="BF126" s="2"/>
      <c r="BG126" s="2"/>
      <c r="BH126" s="91">
        <f t="shared" si="11"/>
        <v>56980</v>
      </c>
      <c r="BI126" s="91">
        <f t="shared" si="12"/>
        <v>57345</v>
      </c>
      <c r="BJ126" s="92">
        <f t="shared" si="13"/>
        <v>25</v>
      </c>
      <c r="BK126" s="93">
        <f t="shared" si="14"/>
        <v>381.63631405589666</v>
      </c>
      <c r="BL126" s="94">
        <f t="shared" si="15"/>
        <v>9540.9078513974164</v>
      </c>
      <c r="BM126" s="76">
        <f t="shared" si="7"/>
        <v>0</v>
      </c>
      <c r="BN126" s="77">
        <f t="shared" si="8"/>
        <v>0</v>
      </c>
      <c r="BO126" s="78">
        <f t="shared" si="9"/>
        <v>0</v>
      </c>
      <c r="BP126" s="99" t="str">
        <f t="shared" si="10"/>
        <v/>
      </c>
      <c r="BQ126" s="2"/>
      <c r="BR126" s="2"/>
      <c r="BS126" s="2"/>
      <c r="BT126" s="2"/>
      <c r="BU126" s="2"/>
      <c r="BV126" s="2"/>
      <c r="BW126" s="57"/>
      <c r="BX126" s="57"/>
    </row>
    <row r="127" spans="1:76" ht="14.25" customHeight="1" x14ac:dyDescent="0.6">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18"/>
      <c r="BA127" s="18"/>
      <c r="BB127" s="18"/>
      <c r="BC127" s="18"/>
      <c r="BD127" s="2"/>
      <c r="BE127" s="2"/>
      <c r="BF127" s="2"/>
      <c r="BG127" s="2"/>
      <c r="BH127" s="91">
        <f t="shared" si="11"/>
        <v>57346</v>
      </c>
      <c r="BI127" s="91">
        <f t="shared" si="12"/>
        <v>57710</v>
      </c>
      <c r="BJ127" s="92">
        <f t="shared" si="13"/>
        <v>25</v>
      </c>
      <c r="BK127" s="93">
        <f t="shared" si="14"/>
        <v>396.90176661813257</v>
      </c>
      <c r="BL127" s="94">
        <f t="shared" si="15"/>
        <v>9922.5441654533133</v>
      </c>
      <c r="BM127" s="76">
        <f t="shared" si="7"/>
        <v>0</v>
      </c>
      <c r="BN127" s="77">
        <f t="shared" si="8"/>
        <v>0</v>
      </c>
      <c r="BO127" s="78">
        <f t="shared" si="9"/>
        <v>0</v>
      </c>
      <c r="BP127" s="99" t="str">
        <f t="shared" si="10"/>
        <v/>
      </c>
      <c r="BQ127" s="2"/>
      <c r="BR127" s="2"/>
      <c r="BS127" s="2"/>
      <c r="BT127" s="2"/>
      <c r="BU127" s="2"/>
      <c r="BV127" s="2"/>
      <c r="BW127" s="57"/>
      <c r="BX127" s="57"/>
    </row>
    <row r="128" spans="1:76" ht="14.25" customHeight="1" x14ac:dyDescent="0.6">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18"/>
      <c r="BA128" s="18"/>
      <c r="BB128" s="18"/>
      <c r="BC128" s="18"/>
      <c r="BD128" s="2"/>
      <c r="BE128" s="2"/>
      <c r="BF128" s="2"/>
      <c r="BG128" s="2"/>
      <c r="BH128" s="91">
        <f t="shared" si="11"/>
        <v>57711</v>
      </c>
      <c r="BI128" s="91">
        <f t="shared" si="12"/>
        <v>58075</v>
      </c>
      <c r="BJ128" s="92">
        <f t="shared" si="13"/>
        <v>25</v>
      </c>
      <c r="BK128" s="93">
        <f t="shared" si="14"/>
        <v>412.77783728285789</v>
      </c>
      <c r="BL128" s="94">
        <f t="shared" si="15"/>
        <v>10319.445932071447</v>
      </c>
      <c r="BM128" s="76">
        <f t="shared" si="7"/>
        <v>0</v>
      </c>
      <c r="BN128" s="77">
        <f t="shared" si="8"/>
        <v>0</v>
      </c>
      <c r="BO128" s="78">
        <f t="shared" si="9"/>
        <v>0</v>
      </c>
      <c r="BP128" s="99" t="str">
        <f t="shared" si="10"/>
        <v/>
      </c>
      <c r="BQ128" s="2"/>
      <c r="BR128" s="2"/>
      <c r="BS128" s="2"/>
      <c r="BT128" s="2"/>
      <c r="BU128" s="2"/>
      <c r="BV128" s="2"/>
      <c r="BW128" s="57"/>
      <c r="BX128" s="57"/>
    </row>
    <row r="129" spans="1:76" ht="14.25" customHeight="1" x14ac:dyDescent="0.6">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18"/>
      <c r="BA129" s="18"/>
      <c r="BB129" s="18"/>
      <c r="BC129" s="18"/>
      <c r="BD129" s="2"/>
      <c r="BE129" s="2"/>
      <c r="BF129" s="2"/>
      <c r="BG129" s="2"/>
      <c r="BH129" s="91">
        <f t="shared" si="11"/>
        <v>58076</v>
      </c>
      <c r="BI129" s="91">
        <f t="shared" si="12"/>
        <v>58440</v>
      </c>
      <c r="BJ129" s="92">
        <f t="shared" si="13"/>
        <v>25</v>
      </c>
      <c r="BK129" s="93">
        <f t="shared" si="14"/>
        <v>429.28895077417224</v>
      </c>
      <c r="BL129" s="94">
        <f t="shared" si="15"/>
        <v>10732.223769354307</v>
      </c>
      <c r="BM129" s="76">
        <f t="shared" si="7"/>
        <v>0</v>
      </c>
      <c r="BN129" s="77">
        <f t="shared" si="8"/>
        <v>0</v>
      </c>
      <c r="BO129" s="78">
        <f t="shared" si="9"/>
        <v>0</v>
      </c>
      <c r="BP129" s="99" t="str">
        <f t="shared" si="10"/>
        <v/>
      </c>
      <c r="BQ129" s="2"/>
      <c r="BR129" s="2"/>
      <c r="BS129" s="2"/>
      <c r="BT129" s="2"/>
      <c r="BU129" s="2"/>
      <c r="BV129" s="2"/>
      <c r="BW129" s="57"/>
      <c r="BX129" s="57"/>
    </row>
    <row r="130" spans="1:76" ht="14.25" customHeight="1" x14ac:dyDescent="0.6">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18"/>
      <c r="BA130" s="18"/>
      <c r="BB130" s="18"/>
      <c r="BC130" s="18"/>
      <c r="BD130" s="2"/>
      <c r="BE130" s="2"/>
      <c r="BF130" s="2"/>
      <c r="BG130" s="2"/>
      <c r="BH130" s="91">
        <f t="shared" si="11"/>
        <v>58441</v>
      </c>
      <c r="BI130" s="91">
        <f t="shared" si="12"/>
        <v>58806</v>
      </c>
      <c r="BJ130" s="92">
        <f t="shared" si="13"/>
        <v>25</v>
      </c>
      <c r="BK130" s="93">
        <f t="shared" si="14"/>
        <v>446.46050880513911</v>
      </c>
      <c r="BL130" s="94">
        <f t="shared" si="15"/>
        <v>11161.512720128478</v>
      </c>
      <c r="BM130" s="76">
        <f t="shared" si="7"/>
        <v>0</v>
      </c>
      <c r="BN130" s="77">
        <f t="shared" si="8"/>
        <v>0</v>
      </c>
      <c r="BO130" s="78">
        <f t="shared" si="9"/>
        <v>0</v>
      </c>
      <c r="BP130" s="99" t="str">
        <f t="shared" si="10"/>
        <v/>
      </c>
      <c r="BQ130" s="2"/>
      <c r="BR130" s="2"/>
      <c r="BS130" s="2"/>
      <c r="BT130" s="2"/>
      <c r="BU130" s="2"/>
      <c r="BV130" s="2"/>
      <c r="BW130" s="57"/>
      <c r="BX130" s="57"/>
    </row>
    <row r="131" spans="1:76" ht="14.25" customHeight="1" x14ac:dyDescent="0.6">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18"/>
      <c r="BA131" s="18"/>
      <c r="BB131" s="18"/>
      <c r="BC131" s="18"/>
      <c r="BD131" s="2"/>
      <c r="BE131" s="2"/>
      <c r="BF131" s="2"/>
      <c r="BG131" s="2"/>
      <c r="BH131" s="91">
        <f t="shared" si="11"/>
        <v>58807</v>
      </c>
      <c r="BI131" s="91">
        <f t="shared" si="12"/>
        <v>59171</v>
      </c>
      <c r="BJ131" s="92">
        <f t="shared" si="13"/>
        <v>25</v>
      </c>
      <c r="BK131" s="93">
        <f t="shared" si="14"/>
        <v>464.31892915734471</v>
      </c>
      <c r="BL131" s="94">
        <f t="shared" si="15"/>
        <v>11607.973228933617</v>
      </c>
      <c r="BM131" s="76">
        <f t="shared" si="7"/>
        <v>0</v>
      </c>
      <c r="BN131" s="77">
        <f t="shared" si="8"/>
        <v>0</v>
      </c>
      <c r="BO131" s="78">
        <f t="shared" si="9"/>
        <v>0</v>
      </c>
      <c r="BP131" s="99" t="str">
        <f t="shared" si="10"/>
        <v/>
      </c>
      <c r="BQ131" s="2"/>
      <c r="BR131" s="2"/>
      <c r="BS131" s="2"/>
      <c r="BT131" s="2"/>
      <c r="BU131" s="2"/>
      <c r="BV131" s="2"/>
      <c r="BW131" s="57"/>
      <c r="BX131" s="57"/>
    </row>
    <row r="132" spans="1:76" ht="14.25" customHeight="1" x14ac:dyDescent="0.6">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18"/>
      <c r="BA132" s="18"/>
      <c r="BB132" s="18"/>
      <c r="BC132" s="18"/>
      <c r="BD132" s="2"/>
      <c r="BE132" s="2"/>
      <c r="BF132" s="2"/>
      <c r="BG132" s="2"/>
      <c r="BH132" s="91">
        <f t="shared" si="11"/>
        <v>59172</v>
      </c>
      <c r="BI132" s="91">
        <f t="shared" si="12"/>
        <v>59536</v>
      </c>
      <c r="BJ132" s="92">
        <f t="shared" si="13"/>
        <v>25</v>
      </c>
      <c r="BK132" s="93">
        <f t="shared" si="14"/>
        <v>482.89168632363851</v>
      </c>
      <c r="BL132" s="94">
        <f t="shared" si="15"/>
        <v>12072.292158090962</v>
      </c>
      <c r="BM132" s="76">
        <f t="shared" si="7"/>
        <v>0</v>
      </c>
      <c r="BN132" s="77">
        <f t="shared" si="8"/>
        <v>0</v>
      </c>
      <c r="BO132" s="78">
        <f t="shared" si="9"/>
        <v>0</v>
      </c>
      <c r="BP132" s="99" t="str">
        <f t="shared" si="10"/>
        <v/>
      </c>
      <c r="BQ132" s="2"/>
      <c r="BR132" s="2"/>
      <c r="BS132" s="2"/>
      <c r="BT132" s="2"/>
      <c r="BU132" s="2"/>
      <c r="BV132" s="2"/>
      <c r="BW132" s="57"/>
      <c r="BX132" s="57"/>
    </row>
    <row r="133" spans="1:76" ht="14.25" customHeight="1" x14ac:dyDescent="0.6">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18"/>
      <c r="BA133" s="18"/>
      <c r="BB133" s="18"/>
      <c r="BC133" s="18"/>
      <c r="BD133" s="2"/>
      <c r="BE133" s="2"/>
      <c r="BF133" s="2"/>
      <c r="BG133" s="2"/>
      <c r="BH133" s="91">
        <f t="shared" si="11"/>
        <v>59537</v>
      </c>
      <c r="BI133" s="91">
        <f t="shared" si="12"/>
        <v>59901</v>
      </c>
      <c r="BJ133" s="92">
        <f t="shared" si="13"/>
        <v>25</v>
      </c>
      <c r="BK133" s="93">
        <f t="shared" si="14"/>
        <v>502.20735377658406</v>
      </c>
      <c r="BL133" s="94">
        <f t="shared" si="15"/>
        <v>12555.183844414601</v>
      </c>
      <c r="BM133" s="76">
        <f t="shared" si="7"/>
        <v>0</v>
      </c>
      <c r="BN133" s="77">
        <f t="shared" si="8"/>
        <v>0</v>
      </c>
      <c r="BO133" s="78">
        <f t="shared" si="9"/>
        <v>0</v>
      </c>
      <c r="BP133" s="99" t="str">
        <f t="shared" si="10"/>
        <v/>
      </c>
      <c r="BQ133" s="2"/>
      <c r="BR133" s="2"/>
      <c r="BS133" s="2"/>
      <c r="BT133" s="2"/>
      <c r="BU133" s="2"/>
      <c r="BV133" s="2"/>
      <c r="BW133" s="57"/>
      <c r="BX133" s="57"/>
    </row>
    <row r="134" spans="1:76" ht="14.25" customHeight="1" x14ac:dyDescent="0.6">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18"/>
      <c r="BA134" s="18"/>
      <c r="BB134" s="18"/>
      <c r="BC134" s="18"/>
      <c r="BD134" s="2"/>
      <c r="BE134" s="2"/>
      <c r="BF134" s="2"/>
      <c r="BG134" s="2"/>
      <c r="BH134" s="91">
        <f t="shared" si="11"/>
        <v>59902</v>
      </c>
      <c r="BI134" s="91">
        <f t="shared" si="12"/>
        <v>60267</v>
      </c>
      <c r="BJ134" s="92">
        <f t="shared" si="13"/>
        <v>25</v>
      </c>
      <c r="BK134" s="93">
        <f t="shared" si="14"/>
        <v>522.29564792764745</v>
      </c>
      <c r="BL134" s="94">
        <f t="shared" si="15"/>
        <v>13057.391198191186</v>
      </c>
      <c r="BM134" s="76">
        <f t="shared" si="7"/>
        <v>0</v>
      </c>
      <c r="BN134" s="77">
        <f t="shared" si="8"/>
        <v>0</v>
      </c>
      <c r="BO134" s="78">
        <f t="shared" si="9"/>
        <v>0</v>
      </c>
      <c r="BP134" s="99" t="str">
        <f t="shared" si="10"/>
        <v/>
      </c>
      <c r="BQ134" s="2"/>
      <c r="BR134" s="2"/>
      <c r="BS134" s="2"/>
      <c r="BT134" s="2"/>
      <c r="BU134" s="2"/>
      <c r="BV134" s="2"/>
      <c r="BW134" s="57"/>
      <c r="BX134" s="57"/>
    </row>
    <row r="135" spans="1:76" ht="14.25" customHeight="1" x14ac:dyDescent="0.6">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18"/>
      <c r="BA135" s="18"/>
      <c r="BB135" s="18"/>
      <c r="BC135" s="18"/>
      <c r="BD135" s="2"/>
      <c r="BE135" s="2"/>
      <c r="BF135" s="2"/>
      <c r="BG135" s="2"/>
      <c r="BH135" s="91">
        <f t="shared" si="11"/>
        <v>60268</v>
      </c>
      <c r="BI135" s="91">
        <f t="shared" si="12"/>
        <v>60632</v>
      </c>
      <c r="BJ135" s="92">
        <f t="shared" si="13"/>
        <v>25</v>
      </c>
      <c r="BK135" s="93">
        <f t="shared" si="14"/>
        <v>543.18747384475341</v>
      </c>
      <c r="BL135" s="94">
        <f t="shared" si="15"/>
        <v>13579.686846118835</v>
      </c>
      <c r="BM135" s="76">
        <f t="shared" si="7"/>
        <v>0</v>
      </c>
      <c r="BN135" s="77">
        <f t="shared" si="8"/>
        <v>0</v>
      </c>
      <c r="BO135" s="78">
        <f t="shared" si="9"/>
        <v>0</v>
      </c>
      <c r="BP135" s="99" t="str">
        <f t="shared" si="10"/>
        <v/>
      </c>
      <c r="BQ135" s="2"/>
      <c r="BR135" s="2"/>
      <c r="BS135" s="2"/>
      <c r="BT135" s="2"/>
      <c r="BU135" s="2"/>
      <c r="BV135" s="2"/>
      <c r="BW135" s="57"/>
      <c r="BX135" s="57"/>
    </row>
    <row r="136" spans="1:76" ht="14.25" customHeight="1" x14ac:dyDescent="0.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18"/>
      <c r="BA136" s="18"/>
      <c r="BB136" s="18"/>
      <c r="BC136" s="18"/>
      <c r="BD136" s="2"/>
      <c r="BE136" s="2"/>
      <c r="BF136" s="2"/>
      <c r="BG136" s="2"/>
      <c r="BH136" s="91">
        <f t="shared" si="11"/>
        <v>60633</v>
      </c>
      <c r="BI136" s="91">
        <f t="shared" si="12"/>
        <v>60997</v>
      </c>
      <c r="BJ136" s="92">
        <f t="shared" si="13"/>
        <v>25</v>
      </c>
      <c r="BK136" s="93">
        <f t="shared" si="14"/>
        <v>564.91497279854354</v>
      </c>
      <c r="BL136" s="94">
        <f t="shared" si="15"/>
        <v>14122.874319963588</v>
      </c>
      <c r="BM136" s="76">
        <f t="shared" si="7"/>
        <v>0</v>
      </c>
      <c r="BN136" s="77">
        <f t="shared" si="8"/>
        <v>0</v>
      </c>
      <c r="BO136" s="78">
        <f t="shared" si="9"/>
        <v>0</v>
      </c>
      <c r="BP136" s="99" t="str">
        <f t="shared" si="10"/>
        <v/>
      </c>
      <c r="BQ136" s="2"/>
      <c r="BR136" s="2"/>
      <c r="BS136" s="2"/>
      <c r="BT136" s="2"/>
      <c r="BU136" s="2"/>
      <c r="BV136" s="2"/>
      <c r="BW136" s="57"/>
      <c r="BX136" s="57"/>
    </row>
    <row r="137" spans="1:76" ht="14.25" customHeight="1" x14ac:dyDescent="0.6">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18"/>
      <c r="BA137" s="18"/>
      <c r="BB137" s="18"/>
      <c r="BC137" s="18"/>
      <c r="BD137" s="2"/>
      <c r="BE137" s="2"/>
      <c r="BF137" s="2"/>
      <c r="BG137" s="2"/>
      <c r="BH137" s="91">
        <f t="shared" si="11"/>
        <v>60998</v>
      </c>
      <c r="BI137" s="91">
        <f t="shared" si="12"/>
        <v>61362</v>
      </c>
      <c r="BJ137" s="92">
        <f t="shared" si="13"/>
        <v>25</v>
      </c>
      <c r="BK137" s="93">
        <f t="shared" si="14"/>
        <v>587.51157171048533</v>
      </c>
      <c r="BL137" s="94">
        <f t="shared" si="15"/>
        <v>14687.789292762132</v>
      </c>
      <c r="BM137" s="76">
        <f t="shared" si="7"/>
        <v>0</v>
      </c>
      <c r="BN137" s="77">
        <f t="shared" si="8"/>
        <v>0</v>
      </c>
      <c r="BO137" s="78">
        <f t="shared" si="9"/>
        <v>0</v>
      </c>
      <c r="BP137" s="99" t="str">
        <f t="shared" si="10"/>
        <v/>
      </c>
      <c r="BQ137" s="2"/>
      <c r="BR137" s="2"/>
      <c r="BS137" s="2"/>
      <c r="BT137" s="2"/>
      <c r="BU137" s="2"/>
      <c r="BV137" s="2"/>
      <c r="BW137" s="57"/>
      <c r="BX137" s="57"/>
    </row>
    <row r="138" spans="1:76" ht="14.25" customHeight="1" x14ac:dyDescent="0.6">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18"/>
      <c r="BA138" s="18"/>
      <c r="BB138" s="18"/>
      <c r="BC138" s="18"/>
      <c r="BD138" s="2"/>
      <c r="BE138" s="2"/>
      <c r="BF138" s="2"/>
      <c r="BG138" s="2"/>
      <c r="BH138" s="91">
        <f t="shared" si="11"/>
        <v>61363</v>
      </c>
      <c r="BI138" s="91">
        <f t="shared" si="12"/>
        <v>61728</v>
      </c>
      <c r="BJ138" s="92">
        <f t="shared" si="13"/>
        <v>25</v>
      </c>
      <c r="BK138" s="93">
        <f t="shared" si="14"/>
        <v>611.01203457890472</v>
      </c>
      <c r="BL138" s="94">
        <f t="shared" si="15"/>
        <v>15275.300864472618</v>
      </c>
      <c r="BM138" s="76">
        <f t="shared" si="7"/>
        <v>0</v>
      </c>
      <c r="BN138" s="77">
        <f t="shared" si="8"/>
        <v>0</v>
      </c>
      <c r="BO138" s="78">
        <f t="shared" si="9"/>
        <v>0</v>
      </c>
      <c r="BP138" s="99" t="str">
        <f t="shared" si="10"/>
        <v/>
      </c>
      <c r="BQ138" s="2"/>
      <c r="BR138" s="2"/>
      <c r="BS138" s="2"/>
      <c r="BT138" s="2"/>
      <c r="BU138" s="2"/>
      <c r="BV138" s="2"/>
      <c r="BW138" s="57"/>
      <c r="BX138" s="57"/>
    </row>
    <row r="139" spans="1:76" ht="14.25" customHeight="1" x14ac:dyDescent="0.6">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18"/>
      <c r="BA139" s="18"/>
      <c r="BB139" s="18"/>
      <c r="BC139" s="18"/>
      <c r="BD139" s="2"/>
      <c r="BE139" s="2"/>
      <c r="BF139" s="2"/>
      <c r="BG139" s="2"/>
      <c r="BH139" s="91">
        <f t="shared" si="11"/>
        <v>61729</v>
      </c>
      <c r="BI139" s="91">
        <f t="shared" si="12"/>
        <v>62093</v>
      </c>
      <c r="BJ139" s="92">
        <f t="shared" si="13"/>
        <v>25</v>
      </c>
      <c r="BK139" s="93">
        <f t="shared" si="14"/>
        <v>635.45251596206094</v>
      </c>
      <c r="BL139" s="94">
        <f t="shared" si="15"/>
        <v>15886.312899051523</v>
      </c>
      <c r="BM139" s="76">
        <f t="shared" si="7"/>
        <v>0</v>
      </c>
      <c r="BN139" s="77">
        <f t="shared" si="8"/>
        <v>0</v>
      </c>
      <c r="BO139" s="78">
        <f t="shared" si="9"/>
        <v>0</v>
      </c>
      <c r="BP139" s="99" t="str">
        <f t="shared" si="10"/>
        <v/>
      </c>
      <c r="BQ139" s="2"/>
      <c r="BR139" s="2"/>
      <c r="BS139" s="2"/>
      <c r="BT139" s="2"/>
      <c r="BU139" s="2"/>
      <c r="BV139" s="2"/>
      <c r="BW139" s="57"/>
      <c r="BX139" s="57"/>
    </row>
    <row r="140" spans="1:76" ht="14.25" customHeight="1" x14ac:dyDescent="0.6">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18"/>
      <c r="BA140" s="18"/>
      <c r="BB140" s="18"/>
      <c r="BC140" s="18"/>
      <c r="BD140" s="2"/>
      <c r="BE140" s="2"/>
      <c r="BF140" s="2"/>
      <c r="BG140" s="2"/>
      <c r="BH140" s="91">
        <f t="shared" si="11"/>
        <v>62094</v>
      </c>
      <c r="BI140" s="91">
        <f t="shared" si="12"/>
        <v>62458</v>
      </c>
      <c r="BJ140" s="92">
        <f t="shared" si="13"/>
        <v>25</v>
      </c>
      <c r="BK140" s="93">
        <f t="shared" si="14"/>
        <v>660.87061660054337</v>
      </c>
      <c r="BL140" s="94">
        <f t="shared" si="15"/>
        <v>16521.765415013586</v>
      </c>
      <c r="BM140" s="76">
        <f t="shared" si="7"/>
        <v>0</v>
      </c>
      <c r="BN140" s="77">
        <f t="shared" si="8"/>
        <v>0</v>
      </c>
      <c r="BO140" s="78">
        <f t="shared" si="9"/>
        <v>0</v>
      </c>
      <c r="BP140" s="99" t="str">
        <f t="shared" si="10"/>
        <v/>
      </c>
      <c r="BQ140" s="2"/>
      <c r="BR140" s="2"/>
      <c r="BS140" s="2"/>
      <c r="BT140" s="2"/>
      <c r="BU140" s="2"/>
      <c r="BV140" s="2"/>
      <c r="BW140" s="57"/>
      <c r="BX140" s="57"/>
    </row>
    <row r="141" spans="1:76" ht="14.25" customHeight="1" x14ac:dyDescent="0.6">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18"/>
      <c r="BA141" s="18"/>
      <c r="BB141" s="18"/>
      <c r="BC141" s="18"/>
      <c r="BD141" s="2"/>
      <c r="BE141" s="2"/>
      <c r="BF141" s="2"/>
      <c r="BG141" s="2"/>
      <c r="BH141" s="18"/>
      <c r="BI141" s="18"/>
      <c r="BJ141" s="18"/>
      <c r="BK141" s="18"/>
      <c r="BL141" s="2"/>
      <c r="BM141" s="18"/>
      <c r="BN141" s="74">
        <f>SUM(BN12:BN140)</f>
        <v>249.85714285714286</v>
      </c>
      <c r="BO141" s="75">
        <f>SUM(BO12:BO140)</f>
        <v>641544.38</v>
      </c>
      <c r="BP141" s="2"/>
      <c r="BQ141" s="2"/>
      <c r="BR141" s="2"/>
      <c r="BS141" s="2"/>
      <c r="BT141" s="2"/>
      <c r="BU141" s="2"/>
      <c r="BV141" s="2"/>
      <c r="BW141" s="57"/>
      <c r="BX141" s="57"/>
    </row>
    <row r="142" spans="1:76" ht="14.25" customHeight="1" x14ac:dyDescent="0.6">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18"/>
      <c r="BA142" s="18"/>
      <c r="BB142" s="18"/>
      <c r="BC142" s="18"/>
      <c r="BD142" s="2"/>
      <c r="BE142" s="2"/>
      <c r="BF142" s="2"/>
      <c r="BG142" s="2"/>
      <c r="BH142" s="18"/>
      <c r="BI142" s="18"/>
      <c r="BJ142" s="18"/>
      <c r="BK142" s="18"/>
      <c r="BL142" s="2"/>
      <c r="BM142" s="18"/>
      <c r="BN142" s="103">
        <f>BO141/BN141</f>
        <v>2567.6447455688963</v>
      </c>
      <c r="BO142" s="103"/>
      <c r="BP142" s="2"/>
      <c r="BQ142" s="2"/>
      <c r="BR142" s="2"/>
      <c r="BS142" s="2"/>
      <c r="BT142" s="2"/>
      <c r="BU142" s="2"/>
      <c r="BV142" s="2"/>
      <c r="BW142" s="57"/>
      <c r="BX142" s="57"/>
    </row>
    <row r="143" spans="1:76" ht="14.25" customHeight="1" x14ac:dyDescent="0.6">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18"/>
      <c r="BA143" s="18"/>
      <c r="BB143" s="18"/>
      <c r="BC143" s="18"/>
      <c r="BD143" s="2"/>
      <c r="BE143" s="2"/>
      <c r="BF143" s="2"/>
      <c r="BG143" s="2"/>
      <c r="BH143" s="18"/>
      <c r="BI143" s="18"/>
      <c r="BJ143" s="18"/>
      <c r="BK143" s="18"/>
      <c r="BL143" s="2"/>
      <c r="BM143" s="18"/>
      <c r="BN143" s="29"/>
      <c r="BO143" s="2"/>
      <c r="BP143" s="2"/>
      <c r="BQ143" s="2"/>
      <c r="BR143" s="2"/>
      <c r="BS143" s="2"/>
      <c r="BT143" s="2"/>
      <c r="BU143" s="2"/>
      <c r="BV143" s="2"/>
      <c r="BW143" s="57"/>
      <c r="BX143" s="57"/>
    </row>
    <row r="144" spans="1:76" ht="14.25" customHeight="1" x14ac:dyDescent="0.6">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18"/>
      <c r="BA144" s="18"/>
      <c r="BB144" s="18"/>
      <c r="BC144" s="18"/>
      <c r="BD144" s="2"/>
      <c r="BE144" s="2"/>
      <c r="BF144" s="2"/>
      <c r="BG144" s="2"/>
      <c r="BH144" s="18"/>
      <c r="BI144" s="18"/>
      <c r="BJ144" s="18"/>
      <c r="BK144" s="18"/>
      <c r="BL144" s="2"/>
      <c r="BM144" s="18"/>
      <c r="BN144" s="29"/>
      <c r="BO144" s="2"/>
      <c r="BP144" s="2"/>
      <c r="BQ144" s="2"/>
      <c r="BR144" s="2"/>
      <c r="BS144" s="2"/>
      <c r="BT144" s="2"/>
      <c r="BU144" s="2"/>
      <c r="BV144" s="2"/>
      <c r="BW144" s="57"/>
      <c r="BX144" s="57"/>
    </row>
    <row r="145" spans="1:76" ht="14.25" customHeight="1" x14ac:dyDescent="0.6">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18"/>
      <c r="BA145" s="18"/>
      <c r="BB145" s="18"/>
      <c r="BC145" s="18"/>
      <c r="BD145" s="2"/>
      <c r="BE145" s="2"/>
      <c r="BF145" s="2"/>
      <c r="BG145" s="2"/>
      <c r="BH145" s="18"/>
      <c r="BI145" s="18"/>
      <c r="BJ145" s="18"/>
      <c r="BK145" s="18"/>
      <c r="BL145" s="2"/>
      <c r="BM145" s="18"/>
      <c r="BN145" s="29"/>
      <c r="BO145" s="2"/>
      <c r="BP145" s="2"/>
      <c r="BQ145" s="2"/>
      <c r="BR145" s="2"/>
      <c r="BS145" s="2"/>
      <c r="BT145" s="2"/>
      <c r="BU145" s="2"/>
      <c r="BV145" s="2"/>
      <c r="BW145" s="57"/>
      <c r="BX145" s="57"/>
    </row>
    <row r="146" spans="1:76" ht="14.25" customHeight="1" x14ac:dyDescent="0.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18"/>
      <c r="BA146" s="18"/>
      <c r="BB146" s="18"/>
      <c r="BC146" s="18"/>
      <c r="BD146" s="2"/>
      <c r="BE146" s="2"/>
      <c r="BF146" s="2"/>
      <c r="BG146" s="2"/>
      <c r="BH146" s="18"/>
      <c r="BI146" s="18"/>
      <c r="BJ146" s="18"/>
      <c r="BK146" s="18"/>
      <c r="BL146" s="2"/>
      <c r="BM146" s="18"/>
      <c r="BN146" s="29"/>
      <c r="BO146" s="2"/>
      <c r="BP146" s="2"/>
      <c r="BQ146" s="2"/>
      <c r="BR146" s="2"/>
      <c r="BS146" s="2"/>
      <c r="BT146" s="2"/>
      <c r="BU146" s="2"/>
      <c r="BV146" s="2"/>
      <c r="BW146" s="57"/>
      <c r="BX146" s="57"/>
    </row>
    <row r="147" spans="1:76" ht="14.25" customHeight="1" x14ac:dyDescent="0.6">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18"/>
      <c r="BA147" s="18"/>
      <c r="BB147" s="18"/>
      <c r="BC147" s="18"/>
      <c r="BD147" s="2"/>
      <c r="BE147" s="2"/>
      <c r="BF147" s="2"/>
      <c r="BG147" s="2"/>
      <c r="BH147" s="18"/>
      <c r="BI147" s="18"/>
      <c r="BJ147" s="18"/>
      <c r="BK147" s="18"/>
      <c r="BL147" s="2"/>
      <c r="BM147" s="18"/>
      <c r="BN147" s="29"/>
      <c r="BO147" s="2"/>
      <c r="BP147" s="2"/>
      <c r="BQ147" s="2"/>
      <c r="BR147" s="2"/>
      <c r="BS147" s="2"/>
      <c r="BT147" s="2"/>
      <c r="BU147" s="2"/>
      <c r="BV147" s="2"/>
      <c r="BW147" s="57"/>
      <c r="BX147" s="57"/>
    </row>
    <row r="148" spans="1:76" ht="14.25" customHeight="1" x14ac:dyDescent="0.6">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18"/>
      <c r="BA148" s="18"/>
      <c r="BB148" s="18"/>
      <c r="BC148" s="18"/>
      <c r="BD148" s="2"/>
      <c r="BE148" s="2"/>
      <c r="BF148" s="2"/>
      <c r="BG148" s="2"/>
      <c r="BH148" s="18"/>
      <c r="BI148" s="18"/>
      <c r="BJ148" s="18"/>
      <c r="BK148" s="18"/>
      <c r="BL148" s="2"/>
      <c r="BM148" s="18"/>
      <c r="BN148" s="29"/>
      <c r="BO148" s="2"/>
      <c r="BP148" s="2"/>
      <c r="BQ148" s="2"/>
      <c r="BR148" s="2"/>
      <c r="BS148" s="2"/>
      <c r="BT148" s="2"/>
      <c r="BU148" s="2"/>
      <c r="BV148" s="2"/>
      <c r="BW148" s="57"/>
      <c r="BX148" s="57"/>
    </row>
    <row r="149" spans="1:76" ht="14.25" customHeight="1" x14ac:dyDescent="0.6">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18"/>
      <c r="BA149" s="18"/>
      <c r="BB149" s="18"/>
      <c r="BC149" s="18"/>
      <c r="BD149" s="2"/>
      <c r="BE149" s="2"/>
      <c r="BF149" s="2"/>
      <c r="BG149" s="2"/>
      <c r="BH149" s="18"/>
      <c r="BI149" s="18"/>
      <c r="BJ149" s="18"/>
      <c r="BK149" s="18"/>
      <c r="BL149" s="2"/>
      <c r="BM149" s="18"/>
      <c r="BN149" s="29"/>
      <c r="BO149" s="2"/>
      <c r="BP149" s="2"/>
      <c r="BQ149" s="2"/>
      <c r="BR149" s="2"/>
      <c r="BS149" s="2"/>
      <c r="BT149" s="2"/>
      <c r="BU149" s="2"/>
      <c r="BV149" s="2"/>
      <c r="BW149" s="57"/>
      <c r="BX149" s="57"/>
    </row>
    <row r="150" spans="1:76" ht="14.25" customHeight="1" x14ac:dyDescent="0.6">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18"/>
      <c r="BA150" s="18"/>
      <c r="BB150" s="18"/>
      <c r="BC150" s="18"/>
      <c r="BD150" s="2"/>
      <c r="BE150" s="2"/>
      <c r="BF150" s="2"/>
      <c r="BG150" s="2"/>
      <c r="BH150" s="18"/>
      <c r="BI150" s="18"/>
      <c r="BJ150" s="18"/>
      <c r="BK150" s="18"/>
      <c r="BL150" s="2"/>
      <c r="BM150" s="18"/>
      <c r="BN150" s="29"/>
      <c r="BO150" s="2"/>
      <c r="BP150" s="2"/>
      <c r="BQ150" s="2"/>
      <c r="BR150" s="2"/>
      <c r="BS150" s="2"/>
      <c r="BT150" s="2"/>
      <c r="BU150" s="2"/>
      <c r="BV150" s="2"/>
      <c r="BW150" s="57"/>
      <c r="BX150" s="57"/>
    </row>
    <row r="151" spans="1:76" ht="14.25" customHeight="1" x14ac:dyDescent="0.6">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18"/>
      <c r="BA151" s="18"/>
      <c r="BB151" s="18"/>
      <c r="BC151" s="18"/>
      <c r="BD151" s="2"/>
      <c r="BE151" s="2"/>
      <c r="BF151" s="2"/>
      <c r="BG151" s="2"/>
      <c r="BH151" s="18"/>
      <c r="BI151" s="18"/>
      <c r="BJ151" s="18"/>
      <c r="BK151" s="18"/>
      <c r="BL151" s="2"/>
      <c r="BM151" s="18"/>
      <c r="BN151" s="29"/>
      <c r="BO151" s="2"/>
      <c r="BP151" s="2"/>
      <c r="BQ151" s="2"/>
      <c r="BR151" s="2"/>
      <c r="BS151" s="2"/>
      <c r="BT151" s="2"/>
      <c r="BU151" s="2"/>
      <c r="BV151" s="2"/>
      <c r="BW151" s="57"/>
      <c r="BX151" s="57"/>
    </row>
    <row r="152" spans="1:76" ht="14.25" customHeight="1" x14ac:dyDescent="0.6">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18"/>
      <c r="BA152" s="18"/>
      <c r="BB152" s="18"/>
      <c r="BC152" s="18"/>
      <c r="BD152" s="2"/>
      <c r="BE152" s="2"/>
      <c r="BF152" s="2"/>
      <c r="BG152" s="2"/>
      <c r="BH152" s="18"/>
      <c r="BI152" s="18"/>
      <c r="BJ152" s="18"/>
      <c r="BK152" s="18"/>
      <c r="BL152" s="2"/>
      <c r="BM152" s="18"/>
      <c r="BN152" s="29"/>
      <c r="BO152" s="2"/>
      <c r="BP152" s="2"/>
      <c r="BQ152" s="2"/>
      <c r="BR152" s="2"/>
      <c r="BS152" s="2"/>
      <c r="BT152" s="2"/>
      <c r="BU152" s="2"/>
      <c r="BV152" s="2"/>
      <c r="BW152" s="57"/>
      <c r="BX152" s="57"/>
    </row>
    <row r="153" spans="1:76" ht="14.25" customHeight="1" x14ac:dyDescent="0.6">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18"/>
      <c r="BA153" s="18"/>
      <c r="BB153" s="18"/>
      <c r="BC153" s="18"/>
      <c r="BD153" s="2"/>
      <c r="BE153" s="2"/>
      <c r="BF153" s="2"/>
      <c r="BG153" s="2"/>
      <c r="BH153" s="18"/>
      <c r="BI153" s="18"/>
      <c r="BJ153" s="18"/>
      <c r="BK153" s="18"/>
      <c r="BL153" s="2"/>
      <c r="BM153" s="18"/>
      <c r="BN153" s="29"/>
      <c r="BO153" s="2"/>
      <c r="BP153" s="2"/>
      <c r="BQ153" s="2"/>
      <c r="BR153" s="2"/>
      <c r="BS153" s="2"/>
      <c r="BT153" s="2"/>
      <c r="BU153" s="2"/>
      <c r="BV153" s="2"/>
      <c r="BW153" s="57"/>
      <c r="BX153" s="57"/>
    </row>
    <row r="154" spans="1:76" ht="14.25" customHeight="1" x14ac:dyDescent="0.6">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18"/>
      <c r="BA154" s="18"/>
      <c r="BB154" s="18"/>
      <c r="BC154" s="18"/>
      <c r="BD154" s="2"/>
      <c r="BE154" s="2"/>
      <c r="BF154" s="2"/>
      <c r="BG154" s="2"/>
      <c r="BH154" s="18"/>
      <c r="BI154" s="18"/>
      <c r="BJ154" s="18"/>
      <c r="BK154" s="18"/>
      <c r="BL154" s="2"/>
      <c r="BM154" s="18"/>
      <c r="BN154" s="29"/>
      <c r="BO154" s="2"/>
      <c r="BP154" s="2"/>
      <c r="BQ154" s="2"/>
      <c r="BR154" s="2"/>
      <c r="BS154" s="2"/>
      <c r="BT154" s="2"/>
      <c r="BU154" s="2"/>
      <c r="BV154" s="2"/>
      <c r="BW154" s="57"/>
      <c r="BX154" s="57"/>
    </row>
    <row r="155" spans="1:76" ht="14.25" customHeight="1" x14ac:dyDescent="0.6">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18"/>
      <c r="BA155" s="18"/>
      <c r="BB155" s="18"/>
      <c r="BC155" s="18"/>
      <c r="BD155" s="2"/>
      <c r="BE155" s="2"/>
      <c r="BF155" s="2"/>
      <c r="BG155" s="2"/>
      <c r="BH155" s="18"/>
      <c r="BI155" s="18"/>
      <c r="BJ155" s="18"/>
      <c r="BK155" s="18"/>
      <c r="BL155" s="2"/>
      <c r="BM155" s="18"/>
      <c r="BN155" s="29"/>
      <c r="BO155" s="2"/>
      <c r="BP155" s="2"/>
      <c r="BQ155" s="2"/>
      <c r="BR155" s="2"/>
      <c r="BS155" s="2"/>
      <c r="BT155" s="2"/>
      <c r="BU155" s="2"/>
      <c r="BV155" s="2"/>
      <c r="BW155" s="57"/>
      <c r="BX155" s="57"/>
    </row>
    <row r="156" spans="1:76" ht="14.25" customHeight="1" x14ac:dyDescent="0.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18"/>
      <c r="BA156" s="18"/>
      <c r="BB156" s="18"/>
      <c r="BC156" s="18"/>
      <c r="BD156" s="2"/>
      <c r="BE156" s="2"/>
      <c r="BF156" s="2"/>
      <c r="BG156" s="2"/>
      <c r="BH156" s="18"/>
      <c r="BI156" s="18"/>
      <c r="BJ156" s="18"/>
      <c r="BK156" s="18"/>
      <c r="BL156" s="2"/>
      <c r="BM156" s="18"/>
      <c r="BN156" s="29"/>
      <c r="BO156" s="2"/>
      <c r="BP156" s="2"/>
      <c r="BQ156" s="2"/>
      <c r="BR156" s="2"/>
      <c r="BS156" s="2"/>
      <c r="BT156" s="2"/>
      <c r="BU156" s="2"/>
      <c r="BV156" s="2"/>
      <c r="BW156" s="57"/>
      <c r="BX156" s="57"/>
    </row>
    <row r="157" spans="1:76" ht="14.25" customHeight="1" x14ac:dyDescent="0.6">
      <c r="A157" s="2"/>
      <c r="B157" s="2"/>
      <c r="C157" s="2"/>
      <c r="D157" s="2"/>
      <c r="E157" s="2"/>
      <c r="F157" s="2"/>
      <c r="G157" s="2"/>
      <c r="H157" s="2"/>
      <c r="I157" s="2"/>
      <c r="J157" s="2"/>
      <c r="K157" s="2"/>
      <c r="L157" s="2"/>
      <c r="M157" s="2"/>
      <c r="N157" s="45"/>
      <c r="O157" s="45"/>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18"/>
      <c r="BA157" s="18"/>
      <c r="BB157" s="18"/>
      <c r="BC157" s="18"/>
      <c r="BD157" s="2"/>
      <c r="BE157" s="2"/>
      <c r="BF157" s="2"/>
      <c r="BG157" s="2"/>
      <c r="BH157" s="18"/>
      <c r="BI157" s="18"/>
      <c r="BJ157" s="18"/>
      <c r="BK157" s="18"/>
      <c r="BL157" s="2"/>
      <c r="BM157" s="18"/>
      <c r="BN157" s="29"/>
      <c r="BO157" s="2"/>
      <c r="BP157" s="2"/>
      <c r="BQ157" s="2"/>
      <c r="BR157" s="2"/>
      <c r="BS157" s="2"/>
      <c r="BT157" s="2"/>
      <c r="BU157" s="2"/>
      <c r="BV157" s="2"/>
      <c r="BW157" s="57"/>
      <c r="BX157" s="57"/>
    </row>
    <row r="158" spans="1:76" ht="14.25" customHeight="1" x14ac:dyDescent="0.6">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18"/>
      <c r="BA158" s="18"/>
      <c r="BB158" s="18"/>
      <c r="BC158" s="18"/>
      <c r="BD158" s="2"/>
      <c r="BE158" s="2"/>
      <c r="BF158" s="2"/>
      <c r="BG158" s="2"/>
      <c r="BH158" s="18"/>
      <c r="BI158" s="18"/>
      <c r="BJ158" s="18"/>
      <c r="BK158" s="18"/>
      <c r="BL158" s="2"/>
      <c r="BM158" s="18"/>
      <c r="BN158" s="29"/>
      <c r="BO158" s="2"/>
      <c r="BP158" s="2"/>
      <c r="BQ158" s="2"/>
      <c r="BR158" s="2"/>
      <c r="BS158" s="2"/>
      <c r="BT158" s="2"/>
      <c r="BU158" s="2"/>
      <c r="BV158" s="2"/>
      <c r="BW158" s="57"/>
      <c r="BX158" s="57"/>
    </row>
    <row r="159" spans="1:76" ht="14.25" customHeight="1" x14ac:dyDescent="0.6">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18"/>
      <c r="BA159" s="18"/>
      <c r="BB159" s="18"/>
      <c r="BC159" s="18"/>
      <c r="BD159" s="2"/>
      <c r="BE159" s="2"/>
      <c r="BF159" s="2"/>
      <c r="BG159" s="2"/>
      <c r="BH159" s="18"/>
      <c r="BI159" s="18"/>
      <c r="BJ159" s="18"/>
      <c r="BK159" s="18"/>
      <c r="BL159" s="2"/>
      <c r="BM159" s="18"/>
      <c r="BN159" s="29"/>
      <c r="BO159" s="2"/>
      <c r="BP159" s="2"/>
      <c r="BQ159" s="2"/>
      <c r="BR159" s="2"/>
      <c r="BS159" s="2"/>
      <c r="BT159" s="2"/>
      <c r="BU159" s="2"/>
      <c r="BV159" s="2"/>
      <c r="BW159" s="57"/>
      <c r="BX159" s="57"/>
    </row>
    <row r="160" spans="1:76" ht="14.25" customHeight="1" x14ac:dyDescent="0.6">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18"/>
      <c r="BA160" s="18"/>
      <c r="BB160" s="18"/>
      <c r="BC160" s="18"/>
      <c r="BD160" s="2"/>
      <c r="BE160" s="2"/>
      <c r="BF160" s="2"/>
      <c r="BG160" s="2"/>
      <c r="BH160" s="18"/>
      <c r="BI160" s="18"/>
      <c r="BJ160" s="18"/>
      <c r="BK160" s="18"/>
      <c r="BL160" s="2"/>
      <c r="BM160" s="18"/>
      <c r="BN160" s="29"/>
      <c r="BO160" s="2"/>
      <c r="BP160" s="2"/>
      <c r="BQ160" s="2"/>
      <c r="BR160" s="2"/>
      <c r="BS160" s="2"/>
      <c r="BT160" s="2"/>
      <c r="BU160" s="2"/>
      <c r="BV160" s="2"/>
      <c r="BW160" s="57"/>
      <c r="BX160" s="57"/>
    </row>
    <row r="161" spans="1:76" ht="14.25" customHeight="1" x14ac:dyDescent="0.6">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18"/>
      <c r="BA161" s="18"/>
      <c r="BB161" s="18"/>
      <c r="BC161" s="18"/>
      <c r="BD161" s="2"/>
      <c r="BE161" s="2"/>
      <c r="BF161" s="2"/>
      <c r="BG161" s="2"/>
      <c r="BH161" s="18"/>
      <c r="BI161" s="18"/>
      <c r="BJ161" s="18"/>
      <c r="BK161" s="18"/>
      <c r="BL161" s="2"/>
      <c r="BM161" s="18"/>
      <c r="BN161" s="29"/>
      <c r="BO161" s="2"/>
      <c r="BP161" s="2"/>
      <c r="BQ161" s="2"/>
      <c r="BR161" s="2"/>
      <c r="BS161" s="2"/>
      <c r="BT161" s="2"/>
      <c r="BU161" s="2"/>
      <c r="BV161" s="2"/>
      <c r="BW161" s="57"/>
      <c r="BX161" s="57"/>
    </row>
    <row r="162" spans="1:76" ht="14.25" customHeight="1" x14ac:dyDescent="0.6">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18"/>
      <c r="BA162" s="18"/>
      <c r="BB162" s="18"/>
      <c r="BC162" s="18"/>
      <c r="BD162" s="2"/>
      <c r="BE162" s="2"/>
      <c r="BF162" s="2"/>
      <c r="BG162" s="2"/>
      <c r="BH162" s="18"/>
      <c r="BI162" s="18"/>
      <c r="BJ162" s="18"/>
      <c r="BK162" s="18"/>
      <c r="BL162" s="2"/>
      <c r="BM162" s="18"/>
      <c r="BN162" s="29"/>
      <c r="BO162" s="2"/>
      <c r="BP162" s="2"/>
      <c r="BQ162" s="2"/>
      <c r="BR162" s="2"/>
      <c r="BS162" s="2"/>
      <c r="BT162" s="2"/>
      <c r="BU162" s="2"/>
      <c r="BV162" s="2"/>
      <c r="BW162" s="57"/>
      <c r="BX162" s="57"/>
    </row>
    <row r="163" spans="1:76" ht="14.25" customHeight="1" x14ac:dyDescent="0.6">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18"/>
      <c r="BA163" s="18"/>
      <c r="BB163" s="18"/>
      <c r="BC163" s="18"/>
      <c r="BD163" s="2"/>
      <c r="BE163" s="2"/>
      <c r="BF163" s="2"/>
      <c r="BG163" s="2"/>
      <c r="BH163" s="18"/>
      <c r="BI163" s="18"/>
      <c r="BJ163" s="18"/>
      <c r="BK163" s="18"/>
      <c r="BL163" s="2"/>
      <c r="BM163" s="18"/>
      <c r="BN163" s="29"/>
      <c r="BO163" s="2"/>
      <c r="BP163" s="2"/>
      <c r="BQ163" s="2"/>
      <c r="BR163" s="2"/>
      <c r="BS163" s="2"/>
      <c r="BT163" s="2"/>
      <c r="BU163" s="2"/>
      <c r="BV163" s="2"/>
      <c r="BW163" s="57"/>
      <c r="BX163" s="57"/>
    </row>
    <row r="164" spans="1:76" ht="14.25" customHeight="1" x14ac:dyDescent="0.6">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18"/>
      <c r="BA164" s="18"/>
      <c r="BB164" s="18"/>
      <c r="BC164" s="18"/>
      <c r="BD164" s="2"/>
      <c r="BE164" s="2"/>
      <c r="BF164" s="2"/>
      <c r="BG164" s="2"/>
      <c r="BH164" s="18"/>
      <c r="BI164" s="18"/>
      <c r="BJ164" s="18"/>
      <c r="BK164" s="18"/>
      <c r="BL164" s="2"/>
      <c r="BM164" s="18"/>
      <c r="BN164" s="29"/>
      <c r="BO164" s="2"/>
      <c r="BP164" s="2"/>
      <c r="BQ164" s="2"/>
      <c r="BR164" s="2"/>
      <c r="BS164" s="2"/>
      <c r="BT164" s="2"/>
      <c r="BU164" s="2"/>
      <c r="BV164" s="2"/>
      <c r="BW164" s="57"/>
      <c r="BX164" s="57"/>
    </row>
    <row r="165" spans="1:76" ht="14.25" customHeight="1" x14ac:dyDescent="0.6">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18"/>
      <c r="BA165" s="18"/>
      <c r="BB165" s="18"/>
      <c r="BC165" s="18"/>
      <c r="BD165" s="2"/>
      <c r="BE165" s="2"/>
      <c r="BF165" s="2"/>
      <c r="BG165" s="2"/>
      <c r="BH165" s="18"/>
      <c r="BI165" s="18"/>
      <c r="BJ165" s="18"/>
      <c r="BK165" s="18"/>
      <c r="BL165" s="2"/>
      <c r="BM165" s="18"/>
      <c r="BN165" s="29"/>
      <c r="BO165" s="2"/>
      <c r="BP165" s="2"/>
      <c r="BQ165" s="2"/>
      <c r="BR165" s="2"/>
      <c r="BS165" s="2"/>
      <c r="BT165" s="2"/>
      <c r="BU165" s="2"/>
      <c r="BV165" s="2"/>
      <c r="BW165" s="57"/>
      <c r="BX165" s="57"/>
    </row>
    <row r="166" spans="1:76" ht="14.25" customHeight="1" x14ac:dyDescent="0.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18"/>
      <c r="BA166" s="18"/>
      <c r="BB166" s="18"/>
      <c r="BC166" s="18"/>
      <c r="BD166" s="2"/>
      <c r="BE166" s="2"/>
      <c r="BF166" s="2"/>
      <c r="BG166" s="2"/>
      <c r="BH166" s="18"/>
      <c r="BI166" s="18"/>
      <c r="BJ166" s="18"/>
      <c r="BK166" s="18"/>
      <c r="BL166" s="2"/>
      <c r="BM166" s="18"/>
      <c r="BN166" s="29"/>
      <c r="BO166" s="2"/>
      <c r="BP166" s="2"/>
      <c r="BQ166" s="2"/>
      <c r="BR166" s="2"/>
      <c r="BS166" s="2"/>
      <c r="BT166" s="2"/>
      <c r="BU166" s="2"/>
      <c r="BV166" s="2"/>
      <c r="BW166" s="57"/>
      <c r="BX166" s="57"/>
    </row>
    <row r="167" spans="1:76" ht="14.25" customHeight="1" x14ac:dyDescent="0.6">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18"/>
      <c r="BA167" s="18"/>
      <c r="BB167" s="18"/>
      <c r="BC167" s="18"/>
      <c r="BD167" s="2"/>
      <c r="BE167" s="2"/>
      <c r="BF167" s="2"/>
      <c r="BG167" s="2"/>
      <c r="BH167" s="18"/>
      <c r="BI167" s="18"/>
      <c r="BJ167" s="18"/>
      <c r="BK167" s="18"/>
      <c r="BL167" s="2"/>
      <c r="BM167" s="18"/>
      <c r="BN167" s="29"/>
      <c r="BO167" s="2"/>
      <c r="BP167" s="2"/>
      <c r="BQ167" s="2"/>
      <c r="BR167" s="2"/>
      <c r="BS167" s="2"/>
      <c r="BT167" s="2"/>
      <c r="BU167" s="2"/>
      <c r="BV167" s="2"/>
      <c r="BW167" s="57"/>
      <c r="BX167" s="57"/>
    </row>
    <row r="168" spans="1:76" ht="14.25" customHeight="1" x14ac:dyDescent="0.6">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18"/>
      <c r="BA168" s="18"/>
      <c r="BB168" s="18"/>
      <c r="BC168" s="18"/>
      <c r="BD168" s="2"/>
      <c r="BE168" s="2"/>
      <c r="BF168" s="2"/>
      <c r="BG168" s="2"/>
      <c r="BH168" s="18"/>
      <c r="BI168" s="18"/>
      <c r="BJ168" s="18"/>
      <c r="BK168" s="18"/>
      <c r="BL168" s="2"/>
      <c r="BM168" s="18"/>
      <c r="BN168" s="29"/>
      <c r="BO168" s="2"/>
      <c r="BP168" s="2"/>
      <c r="BQ168" s="2"/>
      <c r="BR168" s="2"/>
      <c r="BS168" s="2"/>
      <c r="BT168" s="2"/>
      <c r="BU168" s="2"/>
      <c r="BV168" s="2"/>
      <c r="BW168" s="57"/>
      <c r="BX168" s="57"/>
    </row>
    <row r="169" spans="1:76" ht="14.25" customHeight="1" x14ac:dyDescent="0.6">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18"/>
      <c r="BA169" s="18"/>
      <c r="BB169" s="18"/>
      <c r="BC169" s="18"/>
      <c r="BD169" s="2"/>
      <c r="BE169" s="2"/>
      <c r="BF169" s="2"/>
      <c r="BG169" s="2"/>
      <c r="BH169" s="18"/>
      <c r="BI169" s="18"/>
      <c r="BJ169" s="18"/>
      <c r="BK169" s="18"/>
      <c r="BL169" s="2"/>
      <c r="BM169" s="18"/>
      <c r="BN169" s="29"/>
      <c r="BO169" s="2"/>
      <c r="BP169" s="2"/>
      <c r="BQ169" s="2"/>
      <c r="BR169" s="2"/>
      <c r="BS169" s="2"/>
      <c r="BT169" s="2"/>
      <c r="BU169" s="2"/>
      <c r="BV169" s="2"/>
      <c r="BW169" s="57"/>
      <c r="BX169" s="57"/>
    </row>
    <row r="170" spans="1:76" ht="14.25" customHeight="1" x14ac:dyDescent="0.6">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18"/>
      <c r="BA170" s="18"/>
      <c r="BB170" s="18"/>
      <c r="BC170" s="18"/>
      <c r="BD170" s="2"/>
      <c r="BE170" s="2"/>
      <c r="BF170" s="2"/>
      <c r="BG170" s="2"/>
      <c r="BH170" s="18"/>
      <c r="BI170" s="18"/>
      <c r="BJ170" s="18"/>
      <c r="BK170" s="18"/>
      <c r="BL170" s="2"/>
      <c r="BM170" s="18"/>
      <c r="BN170" s="29"/>
      <c r="BO170" s="2"/>
      <c r="BP170" s="2"/>
      <c r="BQ170" s="2"/>
      <c r="BR170" s="2"/>
      <c r="BS170" s="2"/>
      <c r="BT170" s="2"/>
      <c r="BU170" s="2"/>
      <c r="BV170" s="2"/>
      <c r="BW170" s="57"/>
      <c r="BX170" s="57"/>
    </row>
    <row r="171" spans="1:76" ht="14.25" customHeight="1" x14ac:dyDescent="0.6">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18"/>
      <c r="BA171" s="18"/>
      <c r="BB171" s="18"/>
      <c r="BC171" s="18"/>
      <c r="BD171" s="2"/>
      <c r="BE171" s="2"/>
      <c r="BF171" s="2"/>
      <c r="BG171" s="2"/>
      <c r="BH171" s="18"/>
      <c r="BI171" s="18"/>
      <c r="BJ171" s="18"/>
      <c r="BK171" s="18"/>
      <c r="BL171" s="2"/>
      <c r="BM171" s="18"/>
      <c r="BN171" s="29"/>
      <c r="BO171" s="2"/>
      <c r="BP171" s="2"/>
      <c r="BQ171" s="2"/>
      <c r="BR171" s="2"/>
      <c r="BS171" s="2"/>
      <c r="BT171" s="2"/>
      <c r="BU171" s="2"/>
      <c r="BV171" s="2"/>
      <c r="BW171" s="57"/>
      <c r="BX171" s="57"/>
    </row>
    <row r="172" spans="1:76" ht="14.25" customHeight="1" x14ac:dyDescent="0.6">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18"/>
      <c r="BA172" s="18"/>
      <c r="BB172" s="18"/>
      <c r="BC172" s="18"/>
      <c r="BD172" s="2"/>
      <c r="BE172" s="2"/>
      <c r="BF172" s="2"/>
      <c r="BG172" s="2"/>
      <c r="BH172" s="18"/>
      <c r="BI172" s="18"/>
      <c r="BJ172" s="18"/>
      <c r="BK172" s="18"/>
      <c r="BL172" s="2"/>
      <c r="BM172" s="18"/>
      <c r="BN172" s="29"/>
      <c r="BO172" s="2"/>
      <c r="BP172" s="2"/>
      <c r="BQ172" s="2"/>
      <c r="BR172" s="2"/>
      <c r="BS172" s="2"/>
      <c r="BT172" s="2"/>
      <c r="BU172" s="2"/>
      <c r="BV172" s="2"/>
      <c r="BW172" s="57"/>
      <c r="BX172" s="57"/>
    </row>
    <row r="173" spans="1:76" ht="14.25" customHeight="1" x14ac:dyDescent="0.6">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18"/>
      <c r="BA173" s="18"/>
      <c r="BB173" s="18"/>
      <c r="BC173" s="18"/>
      <c r="BD173" s="2"/>
      <c r="BE173" s="2"/>
      <c r="BF173" s="2"/>
      <c r="BG173" s="2"/>
      <c r="BH173" s="18"/>
      <c r="BI173" s="18"/>
      <c r="BJ173" s="18"/>
      <c r="BK173" s="18"/>
      <c r="BL173" s="2"/>
      <c r="BM173" s="18"/>
      <c r="BN173" s="29"/>
      <c r="BO173" s="2"/>
      <c r="BP173" s="2"/>
      <c r="BQ173" s="2"/>
      <c r="BR173" s="2"/>
      <c r="BS173" s="2"/>
      <c r="BT173" s="2"/>
      <c r="BU173" s="2"/>
      <c r="BV173" s="2"/>
      <c r="BW173" s="57"/>
      <c r="BX173" s="57"/>
    </row>
    <row r="174" spans="1:76" ht="14.25" customHeight="1" x14ac:dyDescent="0.6">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18"/>
      <c r="BA174" s="18"/>
      <c r="BB174" s="18"/>
      <c r="BC174" s="18"/>
      <c r="BD174" s="2"/>
      <c r="BE174" s="2"/>
      <c r="BF174" s="2"/>
      <c r="BG174" s="2"/>
      <c r="BH174" s="18"/>
      <c r="BI174" s="18"/>
      <c r="BJ174" s="18"/>
      <c r="BK174" s="18"/>
      <c r="BL174" s="2"/>
      <c r="BM174" s="18"/>
      <c r="BN174" s="29"/>
      <c r="BO174" s="2"/>
      <c r="BP174" s="2"/>
      <c r="BQ174" s="2"/>
      <c r="BR174" s="2"/>
      <c r="BS174" s="2"/>
      <c r="BT174" s="2"/>
      <c r="BU174" s="2"/>
      <c r="BV174" s="2"/>
      <c r="BW174" s="57"/>
      <c r="BX174" s="57"/>
    </row>
    <row r="175" spans="1:76" ht="14.25" customHeight="1" x14ac:dyDescent="0.6">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18"/>
      <c r="BA175" s="18"/>
      <c r="BB175" s="18"/>
      <c r="BC175" s="18"/>
      <c r="BD175" s="2"/>
      <c r="BE175" s="2"/>
      <c r="BF175" s="2"/>
      <c r="BG175" s="2"/>
      <c r="BH175" s="18"/>
      <c r="BI175" s="18"/>
      <c r="BJ175" s="18"/>
      <c r="BK175" s="18"/>
      <c r="BL175" s="2"/>
      <c r="BM175" s="18"/>
      <c r="BN175" s="29"/>
      <c r="BO175" s="2"/>
      <c r="BP175" s="2"/>
      <c r="BQ175" s="2"/>
      <c r="BR175" s="2"/>
      <c r="BS175" s="2"/>
      <c r="BT175" s="2"/>
      <c r="BU175" s="2"/>
      <c r="BV175" s="2"/>
      <c r="BW175" s="57"/>
      <c r="BX175" s="57"/>
    </row>
    <row r="176" spans="1:76" ht="14.25" customHeight="1" x14ac:dyDescent="0.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18"/>
      <c r="BA176" s="18"/>
      <c r="BB176" s="18"/>
      <c r="BC176" s="18"/>
      <c r="BD176" s="2"/>
      <c r="BE176" s="2"/>
      <c r="BF176" s="2"/>
      <c r="BG176" s="2"/>
      <c r="BH176" s="18"/>
      <c r="BI176" s="18"/>
      <c r="BJ176" s="18"/>
      <c r="BK176" s="18"/>
      <c r="BL176" s="2"/>
      <c r="BM176" s="18"/>
      <c r="BN176" s="29"/>
      <c r="BO176" s="2"/>
      <c r="BP176" s="2"/>
      <c r="BQ176" s="2"/>
      <c r="BR176" s="2"/>
      <c r="BS176" s="2"/>
      <c r="BT176" s="2"/>
      <c r="BU176" s="2"/>
      <c r="BV176" s="2"/>
      <c r="BW176" s="57"/>
      <c r="BX176" s="57"/>
    </row>
    <row r="177" spans="1:76" ht="14.25" customHeight="1" x14ac:dyDescent="0.6">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18"/>
      <c r="BA177" s="18"/>
      <c r="BB177" s="18"/>
      <c r="BC177" s="18"/>
      <c r="BD177" s="2"/>
      <c r="BE177" s="2"/>
      <c r="BF177" s="2"/>
      <c r="BG177" s="2"/>
      <c r="BH177" s="18"/>
      <c r="BI177" s="18"/>
      <c r="BJ177" s="18"/>
      <c r="BK177" s="18"/>
      <c r="BL177" s="2"/>
      <c r="BM177" s="18"/>
      <c r="BN177" s="29"/>
      <c r="BO177" s="2"/>
      <c r="BP177" s="2"/>
      <c r="BQ177" s="2"/>
      <c r="BR177" s="2"/>
      <c r="BS177" s="2"/>
      <c r="BT177" s="2"/>
      <c r="BU177" s="2"/>
      <c r="BV177" s="2"/>
      <c r="BW177" s="57"/>
      <c r="BX177" s="57"/>
    </row>
    <row r="178" spans="1:76" ht="14.25" customHeight="1" x14ac:dyDescent="0.6">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18"/>
      <c r="BA178" s="18"/>
      <c r="BB178" s="18"/>
      <c r="BC178" s="18"/>
      <c r="BD178" s="2"/>
      <c r="BE178" s="2"/>
      <c r="BF178" s="2"/>
      <c r="BG178" s="2"/>
      <c r="BH178" s="18"/>
      <c r="BI178" s="18"/>
      <c r="BJ178" s="18"/>
      <c r="BK178" s="18"/>
      <c r="BL178" s="2"/>
      <c r="BM178" s="18"/>
      <c r="BN178" s="29"/>
      <c r="BO178" s="2"/>
      <c r="BP178" s="2"/>
      <c r="BQ178" s="2"/>
      <c r="BR178" s="2"/>
      <c r="BS178" s="2"/>
      <c r="BT178" s="2"/>
      <c r="BU178" s="2"/>
      <c r="BV178" s="2"/>
      <c r="BW178" s="57"/>
      <c r="BX178" s="57"/>
    </row>
    <row r="179" spans="1:76" ht="14.25" customHeight="1" x14ac:dyDescent="0.6">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18"/>
      <c r="BA179" s="18"/>
      <c r="BB179" s="18"/>
      <c r="BC179" s="18"/>
      <c r="BD179" s="2"/>
      <c r="BE179" s="2"/>
      <c r="BF179" s="2"/>
      <c r="BG179" s="2"/>
      <c r="BH179" s="18"/>
      <c r="BI179" s="18"/>
      <c r="BJ179" s="18"/>
      <c r="BK179" s="18"/>
      <c r="BL179" s="2"/>
      <c r="BM179" s="18"/>
      <c r="BN179" s="29"/>
      <c r="BO179" s="2"/>
      <c r="BP179" s="2"/>
      <c r="BQ179" s="2"/>
      <c r="BR179" s="2"/>
      <c r="BS179" s="2"/>
      <c r="BT179" s="2"/>
      <c r="BU179" s="2"/>
      <c r="BV179" s="2"/>
      <c r="BW179" s="57"/>
      <c r="BX179" s="57"/>
    </row>
    <row r="180" spans="1:76" ht="14.25" customHeight="1" x14ac:dyDescent="0.6">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18"/>
      <c r="BA180" s="18"/>
      <c r="BB180" s="18"/>
      <c r="BC180" s="18"/>
      <c r="BD180" s="2"/>
      <c r="BE180" s="2"/>
      <c r="BF180" s="2"/>
      <c r="BG180" s="2"/>
      <c r="BH180" s="18"/>
      <c r="BI180" s="18"/>
      <c r="BJ180" s="18"/>
      <c r="BK180" s="18"/>
      <c r="BL180" s="2"/>
      <c r="BM180" s="18"/>
      <c r="BN180" s="29"/>
      <c r="BO180" s="2"/>
      <c r="BP180" s="2"/>
      <c r="BQ180" s="2"/>
      <c r="BR180" s="2"/>
      <c r="BS180" s="2"/>
      <c r="BT180" s="2"/>
      <c r="BU180" s="2"/>
      <c r="BV180" s="2"/>
      <c r="BW180" s="57"/>
      <c r="BX180" s="57"/>
    </row>
    <row r="181" spans="1:76" ht="14.25" customHeight="1" x14ac:dyDescent="0.6">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18"/>
      <c r="BA181" s="18"/>
      <c r="BB181" s="18"/>
      <c r="BC181" s="18"/>
      <c r="BD181" s="2"/>
      <c r="BE181" s="2"/>
      <c r="BF181" s="2"/>
      <c r="BG181" s="2"/>
      <c r="BH181" s="18"/>
      <c r="BI181" s="18"/>
      <c r="BJ181" s="18"/>
      <c r="BK181" s="18"/>
      <c r="BL181" s="2"/>
      <c r="BM181" s="18"/>
      <c r="BN181" s="29"/>
      <c r="BO181" s="2"/>
      <c r="BP181" s="2"/>
      <c r="BQ181" s="2"/>
      <c r="BR181" s="2"/>
      <c r="BS181" s="2"/>
      <c r="BT181" s="2"/>
      <c r="BU181" s="2"/>
      <c r="BV181" s="2"/>
      <c r="BW181" s="57"/>
      <c r="BX181" s="57"/>
    </row>
    <row r="182" spans="1:76" ht="14.25" customHeight="1" x14ac:dyDescent="0.6">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18"/>
      <c r="BA182" s="18"/>
      <c r="BB182" s="18"/>
      <c r="BC182" s="18"/>
      <c r="BD182" s="2"/>
      <c r="BE182" s="2"/>
      <c r="BF182" s="2"/>
      <c r="BG182" s="2"/>
      <c r="BH182" s="18"/>
      <c r="BI182" s="18"/>
      <c r="BJ182" s="18"/>
      <c r="BK182" s="18"/>
      <c r="BL182" s="2"/>
      <c r="BM182" s="18"/>
      <c r="BN182" s="29"/>
      <c r="BO182" s="2"/>
      <c r="BP182" s="2"/>
      <c r="BQ182" s="2"/>
      <c r="BR182" s="2"/>
      <c r="BS182" s="2"/>
      <c r="BT182" s="2"/>
      <c r="BU182" s="2"/>
      <c r="BV182" s="2"/>
      <c r="BW182" s="57"/>
      <c r="BX182" s="57"/>
    </row>
    <row r="183" spans="1:76" ht="14.25" customHeight="1" x14ac:dyDescent="0.6">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18"/>
      <c r="BA183" s="18"/>
      <c r="BB183" s="18"/>
      <c r="BC183" s="18"/>
      <c r="BD183" s="2"/>
      <c r="BE183" s="2"/>
      <c r="BF183" s="2"/>
      <c r="BG183" s="2"/>
      <c r="BH183" s="18"/>
      <c r="BI183" s="18"/>
      <c r="BJ183" s="18"/>
      <c r="BK183" s="18"/>
      <c r="BL183" s="2"/>
      <c r="BM183" s="18"/>
      <c r="BN183" s="29"/>
      <c r="BO183" s="2"/>
      <c r="BP183" s="2"/>
      <c r="BQ183" s="2"/>
      <c r="BR183" s="2"/>
      <c r="BS183" s="2"/>
      <c r="BT183" s="2"/>
      <c r="BU183" s="2"/>
      <c r="BV183" s="2"/>
      <c r="BW183" s="57"/>
      <c r="BX183" s="57"/>
    </row>
    <row r="184" spans="1:76" ht="14.25" customHeight="1" x14ac:dyDescent="0.6">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18"/>
      <c r="BA184" s="18"/>
      <c r="BB184" s="18"/>
      <c r="BC184" s="18"/>
      <c r="BD184" s="2"/>
      <c r="BE184" s="2"/>
      <c r="BF184" s="2"/>
      <c r="BG184" s="2"/>
      <c r="BH184" s="18"/>
      <c r="BI184" s="18"/>
      <c r="BJ184" s="18"/>
      <c r="BK184" s="18"/>
      <c r="BL184" s="2"/>
      <c r="BM184" s="18"/>
      <c r="BN184" s="29"/>
      <c r="BO184" s="2"/>
      <c r="BP184" s="2"/>
      <c r="BQ184" s="2"/>
      <c r="BR184" s="2"/>
      <c r="BS184" s="2"/>
      <c r="BT184" s="2"/>
      <c r="BU184" s="2"/>
      <c r="BV184" s="2"/>
      <c r="BW184" s="57"/>
      <c r="BX184" s="57"/>
    </row>
    <row r="185" spans="1:76" ht="14.25" customHeight="1" thickBot="1" x14ac:dyDescent="0.7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18"/>
      <c r="BA185" s="18"/>
      <c r="BB185" s="18"/>
      <c r="BC185" s="18"/>
      <c r="BD185" s="2"/>
      <c r="BE185" s="2"/>
      <c r="BF185" s="2"/>
      <c r="BG185" s="2"/>
      <c r="BH185" s="18"/>
      <c r="BI185" s="18"/>
      <c r="BJ185" s="18"/>
      <c r="BK185" s="18"/>
      <c r="BL185" s="2"/>
      <c r="BM185" s="18"/>
      <c r="BN185" s="29"/>
      <c r="BO185" s="2"/>
      <c r="BP185" s="2"/>
      <c r="BQ185" s="2"/>
      <c r="BR185" s="2"/>
      <c r="BS185" s="2"/>
      <c r="BT185" s="2"/>
      <c r="BU185" s="2"/>
      <c r="BV185" s="2"/>
      <c r="BW185" s="57"/>
      <c r="BX185" s="57"/>
    </row>
    <row r="186" spans="1:76" ht="14.25" customHeight="1" thickTop="1" x14ac:dyDescent="0.6">
      <c r="A186" s="2"/>
      <c r="B186" s="2"/>
      <c r="C186" s="2"/>
      <c r="D186" s="2"/>
      <c r="E186" s="2"/>
      <c r="F186" s="2"/>
      <c r="G186" s="2"/>
      <c r="H186" s="2"/>
      <c r="I186" s="2"/>
      <c r="J186" s="2"/>
      <c r="K186" s="2"/>
      <c r="L186" s="95"/>
      <c r="M186" s="95"/>
      <c r="N186" s="104" t="s">
        <v>108</v>
      </c>
      <c r="O186" s="105"/>
      <c r="P186" s="105"/>
      <c r="Q186" s="105"/>
      <c r="R186" s="105"/>
      <c r="S186" s="106"/>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18"/>
      <c r="BA186" s="18"/>
      <c r="BB186" s="18"/>
      <c r="BC186" s="18"/>
      <c r="BD186" s="2"/>
      <c r="BE186" s="2"/>
      <c r="BF186" s="2"/>
      <c r="BG186" s="2"/>
      <c r="BH186" s="18"/>
      <c r="BI186" s="18"/>
      <c r="BJ186" s="18"/>
      <c r="BK186" s="18"/>
      <c r="BL186" s="2"/>
      <c r="BM186" s="18"/>
      <c r="BN186" s="29"/>
      <c r="BO186" s="2"/>
      <c r="BP186" s="2"/>
      <c r="BQ186" s="2"/>
      <c r="BR186" s="2"/>
      <c r="BS186" s="2"/>
      <c r="BT186" s="2"/>
      <c r="BU186" s="2"/>
      <c r="BV186" s="2"/>
      <c r="BW186" s="57"/>
      <c r="BX186" s="57"/>
    </row>
    <row r="187" spans="1:76" ht="14.25" customHeight="1" x14ac:dyDescent="0.6">
      <c r="A187" s="2"/>
      <c r="B187" s="2"/>
      <c r="C187" s="2"/>
      <c r="D187" s="2"/>
      <c r="E187" s="2"/>
      <c r="F187" s="2"/>
      <c r="G187" s="2"/>
      <c r="H187" s="2"/>
      <c r="I187" s="2"/>
      <c r="J187" s="2"/>
      <c r="K187" s="2"/>
      <c r="L187" s="95"/>
      <c r="M187" s="95"/>
      <c r="N187" s="107"/>
      <c r="O187" s="108"/>
      <c r="P187" s="108"/>
      <c r="Q187" s="108"/>
      <c r="R187" s="108"/>
      <c r="S187" s="109"/>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18"/>
      <c r="BA187" s="18"/>
      <c r="BB187" s="18"/>
      <c r="BC187" s="18"/>
      <c r="BD187" s="2"/>
      <c r="BE187" s="2"/>
      <c r="BF187" s="2"/>
      <c r="BG187" s="2"/>
      <c r="BH187" s="18"/>
      <c r="BI187" s="18"/>
      <c r="BJ187" s="18"/>
      <c r="BK187" s="18"/>
      <c r="BL187" s="2"/>
      <c r="BM187" s="18"/>
      <c r="BN187" s="29"/>
      <c r="BO187" s="2"/>
      <c r="BP187" s="2"/>
      <c r="BQ187" s="2"/>
      <c r="BR187" s="2"/>
      <c r="BS187" s="2"/>
      <c r="BT187" s="2"/>
      <c r="BU187" s="2"/>
      <c r="BV187" s="2"/>
      <c r="BW187" s="57"/>
      <c r="BX187" s="57"/>
    </row>
    <row r="188" spans="1:76" ht="14.25" customHeight="1" thickBot="1" x14ac:dyDescent="0.75">
      <c r="A188" s="2"/>
      <c r="B188" s="2"/>
      <c r="C188" s="2"/>
      <c r="D188" s="2"/>
      <c r="E188" s="2"/>
      <c r="F188" s="2"/>
      <c r="G188" s="2"/>
      <c r="H188" s="2"/>
      <c r="I188" s="2"/>
      <c r="J188" s="2"/>
      <c r="K188" s="2"/>
      <c r="L188" s="95"/>
      <c r="M188" s="95"/>
      <c r="N188" s="110"/>
      <c r="O188" s="111"/>
      <c r="P188" s="111"/>
      <c r="Q188" s="111"/>
      <c r="R188" s="111"/>
      <c r="S188" s="11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18"/>
      <c r="BA188" s="18"/>
      <c r="BB188" s="18"/>
      <c r="BC188" s="18"/>
      <c r="BD188" s="2"/>
      <c r="BE188" s="2"/>
      <c r="BF188" s="2"/>
      <c r="BG188" s="2"/>
      <c r="BH188" s="18"/>
      <c r="BI188" s="18"/>
      <c r="BJ188" s="18"/>
      <c r="BK188" s="18"/>
      <c r="BL188" s="2"/>
      <c r="BM188" s="18"/>
      <c r="BN188" s="29"/>
      <c r="BO188" s="2"/>
      <c r="BP188" s="2"/>
      <c r="BQ188" s="2"/>
      <c r="BR188" s="2"/>
      <c r="BS188" s="2"/>
      <c r="BT188" s="2"/>
      <c r="BU188" s="2"/>
      <c r="BV188" s="2"/>
      <c r="BW188" s="57"/>
      <c r="BX188" s="57"/>
    </row>
    <row r="189" spans="1:76" ht="14.25" customHeight="1" thickTop="1" thickBot="1" x14ac:dyDescent="0.7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18"/>
      <c r="BA189" s="18"/>
      <c r="BB189" s="18"/>
      <c r="BC189" s="18"/>
      <c r="BD189" s="2"/>
      <c r="BE189" s="2"/>
      <c r="BF189" s="2"/>
      <c r="BG189" s="2"/>
      <c r="BH189" s="18"/>
      <c r="BI189" s="18"/>
      <c r="BJ189" s="18"/>
      <c r="BK189" s="18"/>
      <c r="BL189" s="2"/>
      <c r="BM189" s="18"/>
      <c r="BN189" s="29"/>
      <c r="BO189" s="2"/>
      <c r="BP189" s="2"/>
      <c r="BQ189" s="2"/>
      <c r="BR189" s="2"/>
      <c r="BS189" s="2"/>
      <c r="BT189" s="2"/>
      <c r="BU189" s="2"/>
      <c r="BV189" s="2"/>
      <c r="BW189" s="57"/>
      <c r="BX189" s="57"/>
    </row>
    <row r="190" spans="1:76" ht="14.25" customHeight="1" thickTop="1" thickBot="1" x14ac:dyDescent="0.75">
      <c r="A190" s="2"/>
      <c r="B190" s="2"/>
      <c r="C190" s="2"/>
      <c r="D190" s="2"/>
      <c r="E190" s="2"/>
      <c r="F190" s="2"/>
      <c r="G190" s="2"/>
      <c r="H190" s="2"/>
      <c r="I190" s="2"/>
      <c r="J190" s="2"/>
      <c r="K190" s="2"/>
      <c r="L190" s="123"/>
      <c r="M190" s="124"/>
      <c r="N190" s="125" t="s">
        <v>109</v>
      </c>
      <c r="O190" s="125"/>
      <c r="P190" s="90" t="s">
        <v>6</v>
      </c>
      <c r="Q190" s="125" t="s">
        <v>107</v>
      </c>
      <c r="R190" s="125"/>
      <c r="S190" s="125"/>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18"/>
      <c r="BA190" s="18"/>
      <c r="BB190" s="18"/>
      <c r="BC190" s="18"/>
      <c r="BD190" s="2"/>
      <c r="BE190" s="2"/>
      <c r="BF190" s="2"/>
      <c r="BG190" s="2"/>
      <c r="BH190" s="18"/>
      <c r="BI190" s="18"/>
      <c r="BJ190" s="18"/>
      <c r="BK190" s="18"/>
      <c r="BL190" s="2"/>
      <c r="BM190" s="18"/>
      <c r="BN190" s="29"/>
      <c r="BO190" s="2"/>
      <c r="BP190" s="2"/>
      <c r="BQ190" s="2"/>
      <c r="BR190" s="2"/>
      <c r="BS190" s="2"/>
      <c r="BT190" s="2"/>
      <c r="BU190" s="2"/>
      <c r="BV190" s="2"/>
      <c r="BW190" s="57"/>
      <c r="BX190" s="57"/>
    </row>
    <row r="191" spans="1:76" ht="14.25" customHeight="1" thickTop="1" x14ac:dyDescent="0.6">
      <c r="A191" s="2"/>
      <c r="B191" s="2"/>
      <c r="C191" s="2"/>
      <c r="D191" s="2"/>
      <c r="E191" s="2"/>
      <c r="F191" s="2"/>
      <c r="G191" s="2"/>
      <c r="H191" s="2"/>
      <c r="I191" s="2"/>
      <c r="J191" s="2"/>
      <c r="K191" s="2"/>
      <c r="L191" s="130"/>
      <c r="M191" s="131"/>
      <c r="N191" s="132">
        <v>39814</v>
      </c>
      <c r="O191" s="133"/>
      <c r="P191" s="98">
        <v>25</v>
      </c>
      <c r="Q191" s="126">
        <v>54.8</v>
      </c>
      <c r="R191" s="126"/>
      <c r="S191" s="127"/>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18"/>
      <c r="BA191" s="18"/>
      <c r="BB191" s="18"/>
      <c r="BC191" s="18"/>
      <c r="BD191" s="2"/>
      <c r="BE191" s="2"/>
      <c r="BF191" s="2"/>
      <c r="BG191" s="2"/>
      <c r="BH191" s="18"/>
      <c r="BI191" s="18"/>
      <c r="BJ191" s="18"/>
      <c r="BK191" s="18"/>
      <c r="BL191" s="2"/>
      <c r="BM191" s="18"/>
      <c r="BN191" s="29"/>
      <c r="BO191" s="2"/>
      <c r="BP191" s="2"/>
      <c r="BQ191" s="2"/>
      <c r="BR191" s="2"/>
      <c r="BS191" s="2"/>
      <c r="BT191" s="2"/>
      <c r="BU191" s="2"/>
      <c r="BV191" s="2"/>
      <c r="BW191" s="57"/>
      <c r="BX191" s="57"/>
    </row>
    <row r="192" spans="1:76" ht="14.25" customHeight="1" x14ac:dyDescent="0.6">
      <c r="A192" s="2"/>
      <c r="B192" s="2"/>
      <c r="C192" s="2"/>
      <c r="D192" s="2"/>
      <c r="E192" s="2"/>
      <c r="F192" s="2"/>
      <c r="G192" s="2"/>
      <c r="H192" s="2"/>
      <c r="I192" s="2"/>
      <c r="J192" s="2"/>
      <c r="K192" s="2"/>
      <c r="L192" s="130"/>
      <c r="M192" s="131"/>
      <c r="N192" s="128">
        <v>40179</v>
      </c>
      <c r="O192" s="129"/>
      <c r="P192" s="96">
        <v>25</v>
      </c>
      <c r="Q192" s="115">
        <v>57.46</v>
      </c>
      <c r="R192" s="115"/>
      <c r="S192" s="116"/>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18"/>
      <c r="BA192" s="18"/>
      <c r="BB192" s="18"/>
      <c r="BC192" s="18"/>
      <c r="BD192" s="2"/>
      <c r="BE192" s="2"/>
      <c r="BF192" s="2"/>
      <c r="BG192" s="2"/>
      <c r="BH192" s="18"/>
      <c r="BI192" s="18"/>
      <c r="BJ192" s="18"/>
      <c r="BK192" s="18"/>
      <c r="BL192" s="2"/>
      <c r="BM192" s="18"/>
      <c r="BN192" s="29"/>
      <c r="BO192" s="2"/>
      <c r="BP192" s="2"/>
      <c r="BQ192" s="2"/>
      <c r="BR192" s="2"/>
      <c r="BS192" s="2"/>
      <c r="BT192" s="2"/>
      <c r="BU192" s="2"/>
      <c r="BV192" s="2"/>
      <c r="BW192" s="57"/>
      <c r="BX192" s="57"/>
    </row>
    <row r="193" spans="1:76" ht="14.25" customHeight="1" x14ac:dyDescent="0.6">
      <c r="A193" s="2"/>
      <c r="B193" s="2"/>
      <c r="C193" s="2"/>
      <c r="D193" s="2"/>
      <c r="E193" s="2"/>
      <c r="F193" s="2"/>
      <c r="G193" s="2"/>
      <c r="H193" s="2"/>
      <c r="I193" s="2"/>
      <c r="J193" s="2"/>
      <c r="K193" s="2"/>
      <c r="L193" s="130"/>
      <c r="M193" s="131"/>
      <c r="N193" s="128">
        <v>40544</v>
      </c>
      <c r="O193" s="129"/>
      <c r="P193" s="96">
        <v>25</v>
      </c>
      <c r="Q193" s="115">
        <v>59.82</v>
      </c>
      <c r="R193" s="115"/>
      <c r="S193" s="116"/>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18"/>
      <c r="BA193" s="18"/>
      <c r="BB193" s="18"/>
      <c r="BC193" s="18"/>
      <c r="BD193" s="2"/>
      <c r="BE193" s="2"/>
      <c r="BF193" s="2"/>
      <c r="BG193" s="2"/>
      <c r="BH193" s="18"/>
      <c r="BI193" s="18"/>
      <c r="BJ193" s="18"/>
      <c r="BK193" s="18"/>
      <c r="BL193" s="2"/>
      <c r="BM193" s="18"/>
      <c r="BN193" s="29"/>
      <c r="BO193" s="2"/>
      <c r="BP193" s="2"/>
      <c r="BQ193" s="2"/>
      <c r="BR193" s="2"/>
      <c r="BS193" s="2"/>
      <c r="BT193" s="2"/>
      <c r="BU193" s="2"/>
      <c r="BV193" s="2"/>
      <c r="BW193" s="57"/>
      <c r="BX193" s="57"/>
    </row>
    <row r="194" spans="1:76" ht="14.25" customHeight="1" x14ac:dyDescent="0.6">
      <c r="A194" s="2"/>
      <c r="B194" s="2"/>
      <c r="C194" s="2"/>
      <c r="D194" s="2"/>
      <c r="E194" s="2"/>
      <c r="F194" s="2"/>
      <c r="G194" s="2"/>
      <c r="H194" s="2"/>
      <c r="I194" s="2"/>
      <c r="J194" s="2"/>
      <c r="K194" s="114"/>
      <c r="L194" s="130"/>
      <c r="M194" s="131"/>
      <c r="N194" s="128">
        <v>40909</v>
      </c>
      <c r="O194" s="129"/>
      <c r="P194" s="96">
        <v>25</v>
      </c>
      <c r="Q194" s="115">
        <v>62.33</v>
      </c>
      <c r="R194" s="115"/>
      <c r="S194" s="116"/>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18"/>
      <c r="BA194" s="18"/>
      <c r="BB194" s="18"/>
      <c r="BC194" s="18"/>
      <c r="BD194" s="2"/>
      <c r="BE194" s="2"/>
      <c r="BF194" s="2"/>
      <c r="BG194" s="2"/>
      <c r="BH194" s="18"/>
      <c r="BI194" s="18"/>
      <c r="BJ194" s="18"/>
      <c r="BK194" s="18"/>
      <c r="BL194" s="2"/>
      <c r="BM194" s="18"/>
      <c r="BN194" s="29"/>
      <c r="BO194" s="2"/>
      <c r="BP194" s="2"/>
      <c r="BQ194" s="2"/>
      <c r="BR194" s="2"/>
      <c r="BS194" s="2"/>
      <c r="BT194" s="2"/>
      <c r="BU194" s="2"/>
      <c r="BV194" s="2"/>
      <c r="BW194" s="57"/>
      <c r="BX194" s="57"/>
    </row>
    <row r="195" spans="1:76" ht="14.25" customHeight="1" x14ac:dyDescent="0.6">
      <c r="A195" s="2"/>
      <c r="B195" s="2"/>
      <c r="C195" s="2"/>
      <c r="D195" s="2"/>
      <c r="E195" s="2"/>
      <c r="F195" s="2"/>
      <c r="G195" s="2"/>
      <c r="H195" s="2"/>
      <c r="I195" s="2"/>
      <c r="J195" s="2"/>
      <c r="K195" s="114"/>
      <c r="L195" s="130"/>
      <c r="M195" s="131"/>
      <c r="N195" s="128">
        <v>41275</v>
      </c>
      <c r="O195" s="129"/>
      <c r="P195" s="96">
        <v>25</v>
      </c>
      <c r="Q195" s="115">
        <v>64.760000000000005</v>
      </c>
      <c r="R195" s="115"/>
      <c r="S195" s="116"/>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18"/>
      <c r="BA195" s="18"/>
      <c r="BB195" s="18"/>
      <c r="BC195" s="18"/>
      <c r="BD195" s="2"/>
      <c r="BE195" s="2"/>
      <c r="BF195" s="2"/>
      <c r="BG195" s="2"/>
      <c r="BH195" s="18"/>
      <c r="BI195" s="18"/>
      <c r="BJ195" s="18"/>
      <c r="BK195" s="18"/>
      <c r="BL195" s="2"/>
      <c r="BM195" s="18"/>
      <c r="BN195" s="29"/>
      <c r="BO195" s="2"/>
      <c r="BP195" s="2"/>
      <c r="BQ195" s="2"/>
      <c r="BR195" s="2"/>
      <c r="BS195" s="2"/>
      <c r="BT195" s="2"/>
      <c r="BU195" s="2"/>
      <c r="BV195" s="2"/>
      <c r="BW195" s="57"/>
      <c r="BX195" s="57"/>
    </row>
    <row r="196" spans="1:76" ht="14.25" customHeight="1" x14ac:dyDescent="0.6">
      <c r="A196" s="2"/>
      <c r="B196" s="2"/>
      <c r="C196" s="2"/>
      <c r="D196" s="2"/>
      <c r="E196" s="2"/>
      <c r="F196" s="2"/>
      <c r="G196" s="2"/>
      <c r="H196" s="2"/>
      <c r="I196" s="2"/>
      <c r="J196" s="2"/>
      <c r="K196" s="114"/>
      <c r="L196" s="131"/>
      <c r="M196" s="212"/>
      <c r="N196" s="128">
        <v>41640</v>
      </c>
      <c r="O196" s="129"/>
      <c r="P196" s="96">
        <v>25</v>
      </c>
      <c r="Q196" s="115">
        <v>67.290000000000006</v>
      </c>
      <c r="R196" s="115"/>
      <c r="S196" s="116"/>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18"/>
      <c r="BA196" s="18"/>
      <c r="BB196" s="18"/>
      <c r="BC196" s="18"/>
      <c r="BD196" s="2"/>
      <c r="BE196" s="2"/>
      <c r="BF196" s="2"/>
      <c r="BG196" s="2"/>
      <c r="BH196" s="18"/>
      <c r="BI196" s="18"/>
      <c r="BJ196" s="18"/>
      <c r="BK196" s="18"/>
      <c r="BL196" s="2"/>
      <c r="BM196" s="18"/>
      <c r="BN196" s="29"/>
      <c r="BO196" s="2"/>
      <c r="BP196" s="2"/>
      <c r="BQ196" s="2"/>
      <c r="BR196" s="2"/>
      <c r="BS196" s="2"/>
      <c r="BT196" s="2"/>
      <c r="BU196" s="2"/>
      <c r="BV196" s="2"/>
      <c r="BW196" s="57"/>
      <c r="BX196" s="57"/>
    </row>
    <row r="197" spans="1:76" ht="14.25" customHeight="1" x14ac:dyDescent="0.6">
      <c r="A197" s="2"/>
      <c r="B197" s="2"/>
      <c r="C197" s="2"/>
      <c r="D197" s="2"/>
      <c r="E197" s="2"/>
      <c r="F197" s="2"/>
      <c r="G197" s="2"/>
      <c r="H197" s="2"/>
      <c r="I197" s="2"/>
      <c r="J197" s="2"/>
      <c r="K197" s="114"/>
      <c r="L197" s="131"/>
      <c r="M197" s="212"/>
      <c r="N197" s="128">
        <v>42005</v>
      </c>
      <c r="O197" s="129"/>
      <c r="P197" s="96">
        <v>25</v>
      </c>
      <c r="Q197" s="115">
        <v>70.099999999999994</v>
      </c>
      <c r="R197" s="115"/>
      <c r="S197" s="116"/>
      <c r="T197" s="2"/>
      <c r="U197" s="2"/>
      <c r="V197" s="2"/>
      <c r="W197" s="2" t="s">
        <v>2</v>
      </c>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18"/>
      <c r="BA197" s="18"/>
      <c r="BB197" s="18"/>
      <c r="BC197" s="18"/>
      <c r="BD197" s="2"/>
      <c r="BE197" s="2"/>
      <c r="BF197" s="2"/>
      <c r="BG197" s="2"/>
      <c r="BH197" s="18"/>
      <c r="BI197" s="18"/>
      <c r="BJ197" s="18"/>
      <c r="BK197" s="18"/>
      <c r="BL197" s="2"/>
      <c r="BM197" s="18"/>
      <c r="BN197" s="29"/>
      <c r="BO197" s="2"/>
      <c r="BP197" s="2"/>
      <c r="BQ197" s="2"/>
      <c r="BR197" s="2"/>
      <c r="BS197" s="2"/>
      <c r="BT197" s="2"/>
      <c r="BU197" s="2"/>
      <c r="BV197" s="2"/>
      <c r="BW197" s="57"/>
      <c r="BX197" s="57"/>
    </row>
    <row r="198" spans="1:76" ht="14.25" customHeight="1" x14ac:dyDescent="0.6">
      <c r="A198" s="2"/>
      <c r="B198" s="2"/>
      <c r="C198" s="2"/>
      <c r="D198" s="2"/>
      <c r="E198" s="2"/>
      <c r="F198" s="2"/>
      <c r="G198" s="2"/>
      <c r="H198" s="2"/>
      <c r="I198" s="2"/>
      <c r="J198" s="2"/>
      <c r="K198" s="114"/>
      <c r="L198" s="131"/>
      <c r="M198" s="212"/>
      <c r="N198" s="128">
        <v>42370</v>
      </c>
      <c r="O198" s="129"/>
      <c r="P198" s="96">
        <v>25</v>
      </c>
      <c r="Q198" s="115">
        <v>73.040000000000006</v>
      </c>
      <c r="R198" s="115"/>
      <c r="S198" s="116"/>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18"/>
      <c r="BA198" s="18"/>
      <c r="BB198" s="18"/>
      <c r="BC198" s="18"/>
      <c r="BD198" s="2"/>
      <c r="BE198" s="2"/>
      <c r="BF198" s="2"/>
      <c r="BG198" s="2"/>
      <c r="BH198" s="18"/>
      <c r="BI198" s="18"/>
      <c r="BJ198" s="18"/>
      <c r="BK198" s="18"/>
      <c r="BL198" s="2"/>
      <c r="BM198" s="18"/>
      <c r="BN198" s="29"/>
      <c r="BO198" s="2"/>
      <c r="BP198" s="2"/>
      <c r="BQ198" s="2"/>
      <c r="BR198" s="2"/>
      <c r="BS198" s="2"/>
      <c r="BT198" s="2"/>
      <c r="BU198" s="2"/>
      <c r="BV198" s="2"/>
      <c r="BW198" s="57"/>
      <c r="BX198" s="57"/>
    </row>
    <row r="199" spans="1:76" ht="14.25" customHeight="1" x14ac:dyDescent="0.6">
      <c r="A199" s="2"/>
      <c r="B199" s="2"/>
      <c r="C199" s="2"/>
      <c r="D199" s="2"/>
      <c r="E199" s="2"/>
      <c r="F199" s="2"/>
      <c r="G199" s="2"/>
      <c r="H199" s="2"/>
      <c r="I199" s="2"/>
      <c r="J199" s="2"/>
      <c r="K199" s="114"/>
      <c r="L199" s="131"/>
      <c r="M199" s="212"/>
      <c r="N199" s="128">
        <v>42736</v>
      </c>
      <c r="O199" s="129"/>
      <c r="P199" s="96">
        <v>25</v>
      </c>
      <c r="Q199" s="115">
        <v>75.489999999999995</v>
      </c>
      <c r="R199" s="115"/>
      <c r="S199" s="116"/>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18"/>
      <c r="BA199" s="18"/>
      <c r="BB199" s="18"/>
      <c r="BC199" s="18"/>
      <c r="BD199" s="2"/>
      <c r="BE199" s="2"/>
      <c r="BF199" s="2"/>
      <c r="BG199" s="2"/>
      <c r="BH199" s="18"/>
      <c r="BI199" s="18"/>
      <c r="BJ199" s="18"/>
      <c r="BK199" s="18"/>
      <c r="BL199" s="2"/>
      <c r="BM199" s="18"/>
      <c r="BN199" s="29"/>
      <c r="BO199" s="2"/>
      <c r="BP199" s="2"/>
      <c r="BQ199" s="2"/>
      <c r="BR199" s="2"/>
      <c r="BS199" s="2"/>
      <c r="BT199" s="2"/>
      <c r="BU199" s="2"/>
      <c r="BV199" s="2"/>
      <c r="BW199" s="57"/>
      <c r="BX199" s="57"/>
    </row>
    <row r="200" spans="1:76" ht="14.25" customHeight="1" x14ac:dyDescent="0.6">
      <c r="A200" s="2"/>
      <c r="B200" s="2"/>
      <c r="C200" s="2"/>
      <c r="D200" s="2"/>
      <c r="E200" s="2"/>
      <c r="F200" s="2"/>
      <c r="G200" s="2"/>
      <c r="H200" s="2"/>
      <c r="I200" s="2"/>
      <c r="J200" s="2"/>
      <c r="K200" s="114"/>
      <c r="L200" s="131"/>
      <c r="M200" s="212"/>
      <c r="N200" s="128">
        <v>43132</v>
      </c>
      <c r="O200" s="129"/>
      <c r="P200" s="96">
        <v>25</v>
      </c>
      <c r="Q200" s="115">
        <v>80.599999999999994</v>
      </c>
      <c r="R200" s="115"/>
      <c r="S200" s="116"/>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18"/>
      <c r="BA200" s="18"/>
      <c r="BB200" s="18"/>
      <c r="BC200" s="18"/>
      <c r="BD200" s="2"/>
      <c r="BE200" s="2"/>
      <c r="BF200" s="2"/>
      <c r="BG200" s="2"/>
      <c r="BH200" s="18"/>
      <c r="BI200" s="18"/>
      <c r="BJ200" s="18"/>
      <c r="BK200" s="18"/>
      <c r="BL200" s="2"/>
      <c r="BM200" s="18"/>
      <c r="BN200" s="29"/>
      <c r="BO200" s="2"/>
      <c r="BP200" s="2"/>
      <c r="BQ200" s="2"/>
      <c r="BR200" s="2"/>
      <c r="BS200" s="2"/>
      <c r="BT200" s="2"/>
      <c r="BU200" s="2"/>
      <c r="BV200" s="2"/>
      <c r="BW200" s="57"/>
      <c r="BX200" s="57"/>
    </row>
    <row r="201" spans="1:76" ht="14.25" customHeight="1" x14ac:dyDescent="0.6">
      <c r="A201" s="2"/>
      <c r="B201" s="2"/>
      <c r="C201" s="2"/>
      <c r="D201" s="2"/>
      <c r="E201" s="2"/>
      <c r="F201" s="2"/>
      <c r="G201" s="2"/>
      <c r="H201" s="2"/>
      <c r="I201" s="2"/>
      <c r="J201" s="2"/>
      <c r="K201" s="114"/>
      <c r="L201" s="131"/>
      <c r="M201" s="212"/>
      <c r="N201" s="128">
        <v>43497</v>
      </c>
      <c r="O201" s="129"/>
      <c r="P201" s="96">
        <v>25</v>
      </c>
      <c r="Q201" s="115">
        <v>84.49</v>
      </c>
      <c r="R201" s="115"/>
      <c r="S201" s="116"/>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18"/>
      <c r="BA201" s="18"/>
      <c r="BB201" s="18"/>
      <c r="BC201" s="18"/>
      <c r="BD201" s="2"/>
      <c r="BE201" s="2"/>
      <c r="BF201" s="2"/>
      <c r="BG201" s="2"/>
      <c r="BH201" s="18"/>
      <c r="BI201" s="18"/>
      <c r="BJ201" s="18"/>
      <c r="BK201" s="18"/>
      <c r="BL201" s="2"/>
      <c r="BM201" s="18"/>
      <c r="BN201" s="29"/>
      <c r="BO201" s="2"/>
      <c r="BP201" s="2"/>
      <c r="BQ201" s="2"/>
      <c r="BR201" s="2"/>
      <c r="BS201" s="2"/>
      <c r="BT201" s="2"/>
      <c r="BU201" s="2"/>
      <c r="BV201" s="2"/>
      <c r="BW201" s="57"/>
      <c r="BX201" s="57"/>
    </row>
    <row r="202" spans="1:76" ht="14.25" customHeight="1" x14ac:dyDescent="0.6">
      <c r="A202" s="2"/>
      <c r="B202" s="2"/>
      <c r="C202" s="2"/>
      <c r="D202" s="2"/>
      <c r="E202" s="2"/>
      <c r="F202" s="2"/>
      <c r="G202" s="2"/>
      <c r="H202" s="2"/>
      <c r="I202" s="2"/>
      <c r="J202" s="2"/>
      <c r="K202" s="114"/>
      <c r="L202" s="131"/>
      <c r="M202" s="212"/>
      <c r="N202" s="128">
        <v>43862</v>
      </c>
      <c r="O202" s="129"/>
      <c r="P202" s="96">
        <v>25</v>
      </c>
      <c r="Q202" s="115">
        <v>86.88</v>
      </c>
      <c r="R202" s="115"/>
      <c r="S202" s="116"/>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18"/>
      <c r="BA202" s="18"/>
      <c r="BB202" s="18"/>
      <c r="BC202" s="18"/>
      <c r="BD202" s="2"/>
      <c r="BE202" s="2"/>
      <c r="BF202" s="2"/>
      <c r="BG202" s="2"/>
      <c r="BH202" s="18"/>
      <c r="BI202" s="18"/>
      <c r="BJ202" s="18"/>
      <c r="BK202" s="18"/>
      <c r="BL202" s="2"/>
      <c r="BM202" s="18"/>
      <c r="BN202" s="29"/>
      <c r="BO202" s="2"/>
      <c r="BP202" s="2"/>
      <c r="BQ202" s="2"/>
      <c r="BR202" s="2"/>
      <c r="BS202" s="2"/>
      <c r="BT202" s="2"/>
      <c r="BU202" s="2"/>
      <c r="BV202" s="2"/>
      <c r="BW202" s="57"/>
      <c r="BX202" s="57"/>
    </row>
    <row r="203" spans="1:76" ht="14.25" customHeight="1" x14ac:dyDescent="0.6">
      <c r="A203" s="2"/>
      <c r="B203" s="2"/>
      <c r="C203" s="2"/>
      <c r="D203" s="2"/>
      <c r="E203" s="2"/>
      <c r="F203" s="2"/>
      <c r="G203" s="2"/>
      <c r="H203" s="2"/>
      <c r="I203" s="2"/>
      <c r="J203" s="2"/>
      <c r="K203" s="114"/>
      <c r="L203" s="131"/>
      <c r="M203" s="212"/>
      <c r="N203" s="128">
        <v>44228</v>
      </c>
      <c r="O203" s="129"/>
      <c r="P203" s="96">
        <v>25</v>
      </c>
      <c r="Q203" s="115">
        <v>89.62</v>
      </c>
      <c r="R203" s="115"/>
      <c r="S203" s="116"/>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18"/>
      <c r="BA203" s="18"/>
      <c r="BB203" s="18"/>
      <c r="BC203" s="18"/>
      <c r="BD203" s="2"/>
      <c r="BE203" s="2"/>
      <c r="BF203" s="2"/>
      <c r="BG203" s="2"/>
      <c r="BH203" s="18"/>
      <c r="BI203" s="18"/>
      <c r="BJ203" s="18"/>
      <c r="BK203" s="18"/>
      <c r="BL203" s="2"/>
      <c r="BM203" s="18"/>
      <c r="BN203" s="29"/>
      <c r="BO203" s="2"/>
      <c r="BP203" s="2"/>
      <c r="BQ203" s="2"/>
      <c r="BR203" s="2"/>
      <c r="BS203" s="2"/>
      <c r="BT203" s="2"/>
      <c r="BU203" s="2"/>
      <c r="BV203" s="2"/>
      <c r="BW203" s="57"/>
      <c r="BX203" s="57"/>
    </row>
    <row r="204" spans="1:76" ht="14.25" customHeight="1" x14ac:dyDescent="0.6">
      <c r="A204" s="2"/>
      <c r="B204" s="2"/>
      <c r="C204" s="2"/>
      <c r="D204" s="2"/>
      <c r="E204" s="2"/>
      <c r="F204" s="2"/>
      <c r="G204" s="2"/>
      <c r="H204" s="2"/>
      <c r="I204" s="2"/>
      <c r="J204" s="2"/>
      <c r="K204" s="114"/>
      <c r="L204" s="131"/>
      <c r="M204" s="212"/>
      <c r="N204" s="128">
        <v>44593</v>
      </c>
      <c r="O204" s="129"/>
      <c r="P204" s="96">
        <v>25</v>
      </c>
      <c r="Q204" s="115">
        <v>96.22</v>
      </c>
      <c r="R204" s="115"/>
      <c r="S204" s="116"/>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18"/>
      <c r="BA204" s="18"/>
      <c r="BB204" s="18"/>
      <c r="BC204" s="18"/>
      <c r="BD204" s="2"/>
      <c r="BE204" s="2"/>
      <c r="BF204" s="2"/>
      <c r="BG204" s="2"/>
      <c r="BH204" s="18"/>
      <c r="BI204" s="18"/>
      <c r="BJ204" s="18"/>
      <c r="BK204" s="18"/>
      <c r="BL204" s="2"/>
      <c r="BM204" s="18"/>
      <c r="BN204" s="29"/>
      <c r="BO204" s="2"/>
      <c r="BP204" s="2"/>
      <c r="BQ204" s="2"/>
      <c r="BR204" s="2"/>
      <c r="BS204" s="2"/>
      <c r="BT204" s="2"/>
      <c r="BU204" s="2"/>
      <c r="BV204" s="2"/>
    </row>
    <row r="205" spans="1:76" ht="14.25" customHeight="1" x14ac:dyDescent="0.6">
      <c r="A205" s="2"/>
      <c r="B205" s="2"/>
      <c r="C205" s="2"/>
      <c r="D205" s="2"/>
      <c r="E205" s="2"/>
      <c r="F205" s="2"/>
      <c r="G205" s="2"/>
      <c r="H205" s="2"/>
      <c r="I205" s="2"/>
      <c r="J205" s="2"/>
      <c r="K205" s="114"/>
      <c r="L205" s="131"/>
      <c r="M205" s="212"/>
      <c r="N205" s="128">
        <v>44958</v>
      </c>
      <c r="O205" s="129"/>
      <c r="P205" s="96">
        <v>25</v>
      </c>
      <c r="Q205" s="115">
        <v>103.74</v>
      </c>
      <c r="R205" s="115"/>
      <c r="S205" s="116"/>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18"/>
      <c r="BA205" s="18"/>
      <c r="BB205" s="18"/>
      <c r="BC205" s="18"/>
      <c r="BD205" s="2"/>
      <c r="BE205" s="2"/>
      <c r="BF205" s="2"/>
      <c r="BG205" s="2"/>
      <c r="BH205" s="18"/>
      <c r="BI205" s="18"/>
      <c r="BJ205" s="18"/>
      <c r="BK205" s="18"/>
      <c r="BL205" s="2"/>
      <c r="BM205" s="18"/>
      <c r="BN205" s="29"/>
      <c r="BO205" s="2"/>
      <c r="BP205" s="2"/>
      <c r="BQ205" s="2"/>
      <c r="BR205" s="2"/>
      <c r="BS205" s="2"/>
      <c r="BT205" s="2"/>
      <c r="BU205" s="2"/>
      <c r="BV205" s="2"/>
    </row>
    <row r="206" spans="1:76" ht="14.25" customHeight="1" x14ac:dyDescent="0.6">
      <c r="A206" s="2"/>
      <c r="B206" s="2"/>
      <c r="C206" s="2"/>
      <c r="D206" s="2"/>
      <c r="E206" s="2"/>
      <c r="F206" s="2"/>
      <c r="G206" s="2"/>
      <c r="H206" s="2"/>
      <c r="I206" s="2"/>
      <c r="J206" s="2"/>
      <c r="K206" s="114"/>
      <c r="L206" s="131"/>
      <c r="M206" s="212"/>
      <c r="N206" s="128">
        <v>45323</v>
      </c>
      <c r="O206" s="129"/>
      <c r="P206" s="96">
        <v>25</v>
      </c>
      <c r="Q206" s="115">
        <v>108.57</v>
      </c>
      <c r="R206" s="115"/>
      <c r="S206" s="116"/>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18"/>
      <c r="BA206" s="18"/>
      <c r="BB206" s="18"/>
      <c r="BC206" s="18"/>
      <c r="BD206" s="2"/>
      <c r="BE206" s="2"/>
      <c r="BF206" s="2"/>
      <c r="BG206" s="2"/>
      <c r="BH206" s="18"/>
      <c r="BI206" s="18"/>
      <c r="BJ206" s="18"/>
      <c r="BK206" s="18"/>
      <c r="BL206" s="2"/>
      <c r="BM206" s="18"/>
      <c r="BN206" s="29"/>
      <c r="BO206" s="2"/>
      <c r="BP206" s="2"/>
      <c r="BQ206" s="2"/>
      <c r="BR206" s="2"/>
      <c r="BS206" s="2"/>
      <c r="BT206" s="2"/>
      <c r="BU206" s="2"/>
      <c r="BV206" s="2"/>
    </row>
    <row r="207" spans="1:76" ht="14.25" customHeight="1" x14ac:dyDescent="0.6">
      <c r="A207" s="2"/>
      <c r="B207" s="2"/>
      <c r="C207" s="2"/>
      <c r="D207" s="2"/>
      <c r="E207" s="2"/>
      <c r="F207" s="2"/>
      <c r="G207" s="2"/>
      <c r="H207" s="2"/>
      <c r="I207" s="2"/>
      <c r="J207" s="2"/>
      <c r="K207" s="114"/>
      <c r="L207" s="131"/>
      <c r="M207" s="212"/>
      <c r="N207" s="128">
        <v>45689</v>
      </c>
      <c r="O207" s="129"/>
      <c r="P207" s="96">
        <v>25</v>
      </c>
      <c r="Q207" s="115">
        <v>113.14</v>
      </c>
      <c r="R207" s="115"/>
      <c r="S207" s="116"/>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18"/>
      <c r="BA207" s="18"/>
      <c r="BB207" s="18"/>
      <c r="BC207" s="18"/>
      <c r="BD207" s="2"/>
      <c r="BE207" s="2"/>
      <c r="BF207" s="2"/>
      <c r="BG207" s="2"/>
      <c r="BH207" s="18"/>
      <c r="BI207" s="18"/>
      <c r="BJ207" s="18"/>
      <c r="BK207" s="18"/>
      <c r="BL207" s="2"/>
      <c r="BM207" s="18"/>
      <c r="BN207" s="29"/>
      <c r="BO207" s="2"/>
      <c r="BP207" s="2"/>
      <c r="BQ207" s="2"/>
      <c r="BR207" s="2"/>
      <c r="BS207" s="2"/>
      <c r="BT207" s="2"/>
      <c r="BU207" s="2"/>
      <c r="BV207" s="2"/>
    </row>
    <row r="208" spans="1:76" ht="14.25" customHeight="1" x14ac:dyDescent="0.6">
      <c r="A208" s="2"/>
      <c r="B208" s="2"/>
      <c r="C208" s="2"/>
      <c r="D208" s="2"/>
      <c r="E208" s="2"/>
      <c r="F208" s="2"/>
      <c r="G208" s="2"/>
      <c r="H208" s="2"/>
      <c r="I208" s="2"/>
      <c r="J208" s="2"/>
      <c r="K208" s="114"/>
      <c r="L208" s="131"/>
      <c r="M208" s="212"/>
      <c r="N208" s="128"/>
      <c r="O208" s="129"/>
      <c r="P208" s="96"/>
      <c r="Q208" s="115"/>
      <c r="R208" s="115"/>
      <c r="S208" s="116"/>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18"/>
      <c r="BA208" s="18"/>
      <c r="BB208" s="18"/>
      <c r="BC208" s="18"/>
      <c r="BD208" s="2"/>
      <c r="BE208" s="2"/>
      <c r="BF208" s="2"/>
      <c r="BG208" s="2"/>
      <c r="BH208" s="18"/>
      <c r="BI208" s="18"/>
      <c r="BJ208" s="18"/>
      <c r="BK208" s="18"/>
      <c r="BL208" s="2"/>
      <c r="BM208" s="18"/>
      <c r="BN208" s="29"/>
      <c r="BO208" s="2"/>
      <c r="BP208" s="2"/>
      <c r="BQ208" s="2"/>
      <c r="BR208" s="2"/>
      <c r="BS208" s="2"/>
      <c r="BT208" s="2"/>
      <c r="BU208" s="2"/>
      <c r="BV208" s="2"/>
    </row>
    <row r="209" spans="1:74" ht="14.25" customHeight="1" x14ac:dyDescent="0.6">
      <c r="A209" s="2"/>
      <c r="B209" s="2"/>
      <c r="C209" s="2"/>
      <c r="D209" s="2"/>
      <c r="E209" s="2"/>
      <c r="F209" s="2"/>
      <c r="G209" s="2"/>
      <c r="H209" s="2"/>
      <c r="I209" s="2"/>
      <c r="J209" s="2"/>
      <c r="K209" s="114"/>
      <c r="L209" s="131"/>
      <c r="M209" s="212"/>
      <c r="N209" s="128"/>
      <c r="O209" s="129"/>
      <c r="P209" s="96"/>
      <c r="Q209" s="115"/>
      <c r="R209" s="115"/>
      <c r="S209" s="116"/>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18"/>
      <c r="BA209" s="18"/>
      <c r="BB209" s="18"/>
      <c r="BC209" s="18"/>
      <c r="BD209" s="2"/>
      <c r="BE209" s="2"/>
      <c r="BF209" s="2"/>
      <c r="BG209" s="2"/>
      <c r="BH209" s="18"/>
      <c r="BI209" s="18"/>
      <c r="BJ209" s="18"/>
      <c r="BK209" s="18"/>
      <c r="BL209" s="2"/>
      <c r="BM209" s="18"/>
      <c r="BN209" s="29"/>
      <c r="BO209" s="2"/>
      <c r="BP209" s="2"/>
      <c r="BQ209" s="2"/>
      <c r="BR209" s="2"/>
      <c r="BS209" s="2"/>
      <c r="BT209" s="2"/>
      <c r="BU209" s="2"/>
      <c r="BV209" s="2"/>
    </row>
    <row r="210" spans="1:74" ht="14.25" customHeight="1" x14ac:dyDescent="0.6">
      <c r="A210" s="2"/>
      <c r="B210" s="2"/>
      <c r="C210" s="2"/>
      <c r="D210" s="2"/>
      <c r="E210" s="2"/>
      <c r="F210" s="2"/>
      <c r="G210" s="2"/>
      <c r="H210" s="2"/>
      <c r="I210" s="2"/>
      <c r="J210" s="2"/>
      <c r="K210" s="114"/>
      <c r="L210" s="131"/>
      <c r="M210" s="212"/>
      <c r="N210" s="128"/>
      <c r="O210" s="129"/>
      <c r="P210" s="96"/>
      <c r="Q210" s="115"/>
      <c r="R210" s="115"/>
      <c r="S210" s="116"/>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18"/>
      <c r="BA210" s="18"/>
      <c r="BB210" s="18"/>
      <c r="BC210" s="18"/>
      <c r="BD210" s="2"/>
      <c r="BE210" s="2"/>
      <c r="BF210" s="2"/>
      <c r="BG210" s="2"/>
      <c r="BH210" s="18"/>
      <c r="BI210" s="18"/>
      <c r="BJ210" s="18"/>
      <c r="BK210" s="18"/>
      <c r="BL210" s="2"/>
      <c r="BM210" s="18"/>
      <c r="BN210" s="29"/>
      <c r="BO210" s="2"/>
      <c r="BP210" s="2"/>
      <c r="BQ210" s="2"/>
      <c r="BR210" s="2"/>
      <c r="BS210" s="2"/>
      <c r="BT210" s="2"/>
      <c r="BU210" s="2"/>
      <c r="BV210" s="2"/>
    </row>
    <row r="211" spans="1:74" ht="14.25" customHeight="1" x14ac:dyDescent="0.6">
      <c r="A211" s="2"/>
      <c r="B211" s="2"/>
      <c r="C211" s="2"/>
      <c r="D211" s="2"/>
      <c r="E211" s="2"/>
      <c r="F211" s="2"/>
      <c r="G211" s="2"/>
      <c r="H211" s="2"/>
      <c r="I211" s="2"/>
      <c r="J211" s="2"/>
      <c r="K211" s="2"/>
      <c r="L211" s="131"/>
      <c r="M211" s="212"/>
      <c r="N211" s="128"/>
      <c r="O211" s="129"/>
      <c r="P211" s="96"/>
      <c r="Q211" s="115"/>
      <c r="R211" s="115"/>
      <c r="S211" s="116"/>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18"/>
      <c r="BA211" s="18"/>
      <c r="BB211" s="18"/>
      <c r="BC211" s="18"/>
      <c r="BD211" s="2"/>
      <c r="BE211" s="2"/>
      <c r="BF211" s="2"/>
      <c r="BG211" s="2"/>
      <c r="BH211" s="18"/>
      <c r="BI211" s="18"/>
      <c r="BJ211" s="18"/>
      <c r="BK211" s="18"/>
      <c r="BL211" s="2"/>
      <c r="BM211" s="18"/>
      <c r="BN211" s="29"/>
      <c r="BO211" s="2"/>
      <c r="BP211" s="2"/>
      <c r="BQ211" s="2"/>
      <c r="BR211" s="2"/>
      <c r="BS211" s="2"/>
      <c r="BT211" s="2"/>
      <c r="BU211" s="2"/>
      <c r="BV211" s="2"/>
    </row>
    <row r="212" spans="1:74" ht="14.25" customHeight="1" x14ac:dyDescent="0.6">
      <c r="A212" s="2"/>
      <c r="B212" s="2"/>
      <c r="C212" s="2"/>
      <c r="D212" s="2"/>
      <c r="E212" s="2"/>
      <c r="F212" s="2"/>
      <c r="G212" s="2"/>
      <c r="H212" s="2"/>
      <c r="I212" s="2"/>
      <c r="J212" s="2"/>
      <c r="K212" s="2"/>
      <c r="L212" s="131"/>
      <c r="M212" s="212"/>
      <c r="N212" s="128"/>
      <c r="O212" s="129"/>
      <c r="P212" s="96"/>
      <c r="Q212" s="115"/>
      <c r="R212" s="115"/>
      <c r="S212" s="116"/>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18"/>
      <c r="BA212" s="18"/>
      <c r="BB212" s="18"/>
      <c r="BC212" s="18"/>
      <c r="BD212" s="2"/>
      <c r="BE212" s="2"/>
      <c r="BF212" s="2"/>
      <c r="BG212" s="2"/>
      <c r="BH212" s="18"/>
      <c r="BI212" s="18"/>
      <c r="BJ212" s="18"/>
      <c r="BK212" s="18"/>
      <c r="BL212" s="2"/>
      <c r="BM212" s="18"/>
      <c r="BN212" s="29"/>
      <c r="BO212" s="2"/>
      <c r="BP212" s="2"/>
      <c r="BQ212" s="2"/>
      <c r="BR212" s="2"/>
      <c r="BS212" s="2"/>
      <c r="BT212" s="2"/>
      <c r="BU212" s="2"/>
      <c r="BV212" s="2"/>
    </row>
    <row r="213" spans="1:74" ht="14.25" customHeight="1" x14ac:dyDescent="0.6">
      <c r="A213" s="2"/>
      <c r="B213" s="2"/>
      <c r="C213" s="2"/>
      <c r="D213" s="2"/>
      <c r="E213" s="2"/>
      <c r="F213" s="2"/>
      <c r="G213" s="2"/>
      <c r="H213" s="2"/>
      <c r="I213" s="2"/>
      <c r="J213" s="2"/>
      <c r="K213" s="2"/>
      <c r="L213" s="131"/>
      <c r="M213" s="212"/>
      <c r="N213" s="128"/>
      <c r="O213" s="129"/>
      <c r="P213" s="96"/>
      <c r="Q213" s="115"/>
      <c r="R213" s="115"/>
      <c r="S213" s="116"/>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18"/>
      <c r="BA213" s="18"/>
      <c r="BB213" s="18"/>
      <c r="BC213" s="18"/>
      <c r="BD213" s="2"/>
      <c r="BE213" s="2"/>
      <c r="BF213" s="2"/>
      <c r="BG213" s="2"/>
      <c r="BH213" s="18"/>
      <c r="BI213" s="18"/>
      <c r="BJ213" s="18"/>
      <c r="BK213" s="18"/>
      <c r="BL213" s="2"/>
      <c r="BM213" s="18"/>
      <c r="BN213" s="29"/>
      <c r="BO213" s="2"/>
      <c r="BP213" s="2"/>
      <c r="BQ213" s="2"/>
      <c r="BR213" s="2"/>
      <c r="BS213" s="2"/>
      <c r="BT213" s="2"/>
      <c r="BU213" s="2"/>
      <c r="BV213" s="2"/>
    </row>
    <row r="214" spans="1:74" ht="14.25" customHeight="1" x14ac:dyDescent="0.6">
      <c r="A214" s="2"/>
      <c r="B214" s="2"/>
      <c r="C214" s="2"/>
      <c r="D214" s="2"/>
      <c r="E214" s="2"/>
      <c r="F214" s="2"/>
      <c r="G214" s="2"/>
      <c r="H214" s="2"/>
      <c r="I214" s="2"/>
      <c r="J214" s="2"/>
      <c r="K214" s="2"/>
      <c r="L214" s="131"/>
      <c r="M214" s="212"/>
      <c r="N214" s="128"/>
      <c r="O214" s="129"/>
      <c r="P214" s="96"/>
      <c r="Q214" s="115"/>
      <c r="R214" s="115"/>
      <c r="S214" s="116"/>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18"/>
      <c r="BA214" s="18"/>
      <c r="BB214" s="18"/>
      <c r="BC214" s="18"/>
      <c r="BD214" s="2"/>
      <c r="BE214" s="2"/>
      <c r="BF214" s="2"/>
      <c r="BG214" s="2"/>
      <c r="BH214" s="18"/>
      <c r="BI214" s="18"/>
      <c r="BJ214" s="18"/>
      <c r="BK214" s="18"/>
      <c r="BL214" s="2"/>
      <c r="BM214" s="18"/>
      <c r="BN214" s="29"/>
      <c r="BO214" s="2"/>
      <c r="BP214" s="2"/>
      <c r="BQ214" s="2"/>
      <c r="BR214" s="2"/>
      <c r="BS214" s="2"/>
      <c r="BT214" s="2"/>
      <c r="BU214" s="2"/>
      <c r="BV214" s="2"/>
    </row>
    <row r="215" spans="1:74" ht="14.25" customHeight="1" x14ac:dyDescent="0.6">
      <c r="A215" s="2"/>
      <c r="B215" s="2"/>
      <c r="C215" s="2"/>
      <c r="D215" s="2"/>
      <c r="E215" s="2"/>
      <c r="F215" s="2"/>
      <c r="G215" s="2"/>
      <c r="H215" s="2"/>
      <c r="I215" s="2"/>
      <c r="J215" s="2"/>
      <c r="K215" s="2"/>
      <c r="L215" s="131"/>
      <c r="M215" s="212"/>
      <c r="N215" s="128"/>
      <c r="O215" s="129"/>
      <c r="P215" s="96"/>
      <c r="Q215" s="115"/>
      <c r="R215" s="115"/>
      <c r="S215" s="116"/>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18"/>
      <c r="BA215" s="18"/>
      <c r="BB215" s="18"/>
      <c r="BC215" s="18"/>
      <c r="BD215" s="2"/>
      <c r="BE215" s="2"/>
      <c r="BF215" s="2"/>
      <c r="BG215" s="2"/>
      <c r="BH215" s="18"/>
      <c r="BI215" s="18"/>
      <c r="BJ215" s="18"/>
      <c r="BK215" s="18"/>
      <c r="BL215" s="2"/>
      <c r="BM215" s="18"/>
      <c r="BN215" s="29"/>
      <c r="BO215" s="2"/>
      <c r="BP215" s="2"/>
      <c r="BQ215" s="2"/>
      <c r="BR215" s="2"/>
      <c r="BS215" s="2"/>
      <c r="BT215" s="2"/>
      <c r="BU215" s="2"/>
      <c r="BV215" s="2"/>
    </row>
    <row r="216" spans="1:74" ht="14.25" customHeight="1" x14ac:dyDescent="0.6">
      <c r="A216" s="2"/>
      <c r="B216" s="2"/>
      <c r="C216" s="2"/>
      <c r="D216" s="2"/>
      <c r="E216" s="2"/>
      <c r="F216" s="2"/>
      <c r="G216" s="2"/>
      <c r="H216" s="2"/>
      <c r="I216" s="2"/>
      <c r="J216" s="2"/>
      <c r="K216" s="2"/>
      <c r="L216" s="131"/>
      <c r="M216" s="212"/>
      <c r="N216" s="128"/>
      <c r="O216" s="129"/>
      <c r="P216" s="96"/>
      <c r="Q216" s="115"/>
      <c r="R216" s="115"/>
      <c r="S216" s="116"/>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18"/>
      <c r="BA216" s="18"/>
      <c r="BB216" s="18"/>
      <c r="BC216" s="18"/>
      <c r="BD216" s="2"/>
      <c r="BE216" s="2"/>
      <c r="BF216" s="2"/>
      <c r="BG216" s="2"/>
      <c r="BH216" s="18"/>
      <c r="BI216" s="18"/>
      <c r="BJ216" s="18"/>
      <c r="BK216" s="18"/>
      <c r="BL216" s="2"/>
      <c r="BM216" s="18"/>
      <c r="BN216" s="29"/>
      <c r="BO216" s="2"/>
      <c r="BP216" s="2"/>
      <c r="BQ216" s="2"/>
      <c r="BR216" s="2"/>
      <c r="BS216" s="2"/>
      <c r="BT216" s="2"/>
      <c r="BU216" s="2"/>
      <c r="BV216" s="2"/>
    </row>
    <row r="217" spans="1:74" ht="14.25" customHeight="1" x14ac:dyDescent="0.6">
      <c r="A217" s="2"/>
      <c r="B217" s="2"/>
      <c r="C217" s="2"/>
      <c r="D217" s="2"/>
      <c r="E217" s="2"/>
      <c r="F217" s="2"/>
      <c r="G217" s="2"/>
      <c r="H217" s="2"/>
      <c r="I217" s="2"/>
      <c r="J217" s="2"/>
      <c r="K217" s="2"/>
      <c r="L217" s="131"/>
      <c r="M217" s="212"/>
      <c r="N217" s="128"/>
      <c r="O217" s="129"/>
      <c r="P217" s="96"/>
      <c r="Q217" s="115"/>
      <c r="R217" s="115"/>
      <c r="S217" s="116"/>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18"/>
      <c r="BA217" s="18"/>
      <c r="BB217" s="18"/>
      <c r="BC217" s="18"/>
      <c r="BD217" s="2"/>
      <c r="BE217" s="2"/>
      <c r="BF217" s="2"/>
      <c r="BG217" s="2"/>
      <c r="BH217" s="18"/>
      <c r="BI217" s="18"/>
      <c r="BJ217" s="18"/>
      <c r="BK217" s="18"/>
      <c r="BL217" s="2"/>
      <c r="BM217" s="18"/>
      <c r="BN217" s="29"/>
      <c r="BO217" s="2"/>
      <c r="BP217" s="2"/>
      <c r="BQ217" s="2"/>
      <c r="BR217" s="2"/>
      <c r="BS217" s="2"/>
      <c r="BT217" s="2"/>
      <c r="BU217" s="2"/>
      <c r="BV217" s="2"/>
    </row>
    <row r="218" spans="1:74" ht="14.25" customHeight="1" x14ac:dyDescent="0.6">
      <c r="A218" s="2"/>
      <c r="B218" s="2"/>
      <c r="C218" s="2"/>
      <c r="D218" s="2"/>
      <c r="E218" s="2"/>
      <c r="F218" s="2"/>
      <c r="G218" s="2"/>
      <c r="H218" s="2"/>
      <c r="I218" s="2"/>
      <c r="J218" s="2"/>
      <c r="K218" s="2"/>
      <c r="L218" s="131"/>
      <c r="M218" s="212"/>
      <c r="N218" s="128"/>
      <c r="O218" s="129"/>
      <c r="P218" s="96"/>
      <c r="Q218" s="115"/>
      <c r="R218" s="115"/>
      <c r="S218" s="116"/>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18"/>
      <c r="BA218" s="18"/>
      <c r="BB218" s="18"/>
      <c r="BC218" s="18"/>
      <c r="BD218" s="2"/>
      <c r="BE218" s="2"/>
      <c r="BF218" s="2"/>
      <c r="BG218" s="2"/>
      <c r="BH218" s="18"/>
      <c r="BI218" s="18"/>
      <c r="BJ218" s="18"/>
      <c r="BK218" s="18"/>
      <c r="BL218" s="2"/>
      <c r="BM218" s="18"/>
      <c r="BN218" s="29"/>
      <c r="BO218" s="2"/>
      <c r="BP218" s="2"/>
      <c r="BQ218" s="2"/>
      <c r="BR218" s="2"/>
      <c r="BS218" s="2"/>
      <c r="BT218" s="2"/>
      <c r="BU218" s="2"/>
      <c r="BV218" s="2"/>
    </row>
    <row r="219" spans="1:74" ht="14.25" customHeight="1" x14ac:dyDescent="0.6">
      <c r="A219" s="2"/>
      <c r="B219" s="2"/>
      <c r="C219" s="2"/>
      <c r="D219" s="2"/>
      <c r="E219" s="2"/>
      <c r="F219" s="2"/>
      <c r="G219" s="2"/>
      <c r="H219" s="2"/>
      <c r="I219" s="2"/>
      <c r="J219" s="2"/>
      <c r="K219" s="2"/>
      <c r="L219" s="131"/>
      <c r="M219" s="212"/>
      <c r="N219" s="128"/>
      <c r="O219" s="129"/>
      <c r="P219" s="96"/>
      <c r="Q219" s="115"/>
      <c r="R219" s="115"/>
      <c r="S219" s="116"/>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18"/>
      <c r="BA219" s="18"/>
      <c r="BB219" s="18"/>
      <c r="BC219" s="18"/>
      <c r="BD219" s="2"/>
      <c r="BE219" s="2"/>
      <c r="BF219" s="2"/>
      <c r="BG219" s="2"/>
      <c r="BH219" s="18"/>
      <c r="BI219" s="18"/>
      <c r="BJ219" s="18"/>
      <c r="BK219" s="18"/>
      <c r="BL219" s="2"/>
      <c r="BM219" s="18"/>
      <c r="BN219" s="29"/>
      <c r="BO219" s="2"/>
      <c r="BP219" s="2"/>
      <c r="BQ219" s="2"/>
      <c r="BR219" s="2"/>
      <c r="BS219" s="2"/>
      <c r="BT219" s="2"/>
      <c r="BU219" s="2"/>
      <c r="BV219" s="2"/>
    </row>
    <row r="220" spans="1:74" ht="14.25" customHeight="1" thickBot="1" x14ac:dyDescent="0.75">
      <c r="A220" s="2"/>
      <c r="B220" s="2"/>
      <c r="C220" s="2"/>
      <c r="D220" s="2"/>
      <c r="E220" s="2"/>
      <c r="F220" s="2"/>
      <c r="G220" s="2"/>
      <c r="H220" s="2"/>
      <c r="I220" s="2"/>
      <c r="J220" s="2"/>
      <c r="K220" s="2"/>
      <c r="L220" s="131"/>
      <c r="M220" s="212"/>
      <c r="N220" s="215"/>
      <c r="O220" s="216"/>
      <c r="P220" s="97"/>
      <c r="Q220" s="213"/>
      <c r="R220" s="213"/>
      <c r="S220" s="214"/>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18"/>
      <c r="BA220" s="18"/>
      <c r="BB220" s="18"/>
      <c r="BC220" s="18"/>
      <c r="BD220" s="2"/>
      <c r="BE220" s="2"/>
      <c r="BF220" s="2"/>
      <c r="BG220" s="2"/>
      <c r="BH220" s="18"/>
      <c r="BI220" s="18"/>
      <c r="BJ220" s="18"/>
      <c r="BK220" s="18"/>
      <c r="BL220" s="2"/>
      <c r="BM220" s="18"/>
      <c r="BN220" s="29"/>
      <c r="BO220" s="2"/>
      <c r="BP220" s="2"/>
      <c r="BQ220" s="2"/>
      <c r="BR220" s="2"/>
      <c r="BS220" s="2"/>
      <c r="BT220" s="2"/>
      <c r="BU220" s="2"/>
      <c r="BV220" s="2"/>
    </row>
    <row r="221" spans="1:74" ht="14.25" customHeight="1" thickTop="1" x14ac:dyDescent="0.6">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18"/>
      <c r="BA221" s="18"/>
      <c r="BB221" s="18"/>
      <c r="BC221" s="18"/>
      <c r="BD221" s="2"/>
      <c r="BE221" s="2"/>
      <c r="BF221" s="2"/>
      <c r="BG221" s="2"/>
      <c r="BH221" s="18"/>
      <c r="BI221" s="18"/>
      <c r="BJ221" s="18"/>
      <c r="BK221" s="18"/>
      <c r="BL221" s="2"/>
      <c r="BM221" s="18"/>
      <c r="BN221" s="29"/>
      <c r="BO221" s="2"/>
      <c r="BP221" s="2"/>
      <c r="BQ221" s="2"/>
      <c r="BR221" s="2"/>
      <c r="BS221" s="2"/>
      <c r="BT221" s="2"/>
      <c r="BU221" s="2"/>
      <c r="BV221" s="2"/>
    </row>
    <row r="222" spans="1:74" ht="14.25" customHeight="1" x14ac:dyDescent="0.6">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18"/>
      <c r="BA222" s="18"/>
      <c r="BB222" s="18"/>
      <c r="BC222" s="18"/>
      <c r="BD222" s="2"/>
      <c r="BE222" s="2"/>
      <c r="BF222" s="2"/>
      <c r="BG222" s="2"/>
      <c r="BH222" s="18"/>
      <c r="BI222" s="18"/>
      <c r="BJ222" s="18"/>
      <c r="BK222" s="18"/>
      <c r="BL222" s="2"/>
      <c r="BM222" s="18"/>
      <c r="BN222" s="29"/>
      <c r="BO222" s="2"/>
      <c r="BP222" s="2"/>
      <c r="BQ222" s="2"/>
      <c r="BR222" s="2"/>
      <c r="BS222" s="2"/>
      <c r="BT222" s="2"/>
      <c r="BU222" s="2"/>
      <c r="BV222" s="2"/>
    </row>
    <row r="223" spans="1:74" ht="14.25" customHeight="1" x14ac:dyDescent="0.6">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18"/>
      <c r="BA223" s="18"/>
      <c r="BB223" s="18"/>
      <c r="BC223" s="18"/>
      <c r="BD223" s="2"/>
      <c r="BE223" s="2"/>
      <c r="BF223" s="2"/>
      <c r="BG223" s="2"/>
      <c r="BH223" s="18"/>
      <c r="BI223" s="18"/>
      <c r="BJ223" s="18"/>
      <c r="BK223" s="18"/>
      <c r="BL223" s="2"/>
      <c r="BM223" s="18"/>
      <c r="BN223" s="29"/>
      <c r="BO223" s="2"/>
      <c r="BP223" s="2"/>
      <c r="BQ223" s="2"/>
      <c r="BR223" s="2"/>
      <c r="BS223" s="2"/>
      <c r="BT223" s="2"/>
      <c r="BU223" s="2"/>
      <c r="BV223" s="2"/>
    </row>
    <row r="224" spans="1:74" ht="14.25" customHeight="1" x14ac:dyDescent="0.6">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18"/>
      <c r="BA224" s="18"/>
      <c r="BB224" s="18"/>
      <c r="BC224" s="18"/>
      <c r="BD224" s="2"/>
      <c r="BE224" s="2"/>
      <c r="BF224" s="2"/>
      <c r="BG224" s="2"/>
      <c r="BH224" s="18"/>
      <c r="BI224" s="18"/>
      <c r="BJ224" s="18"/>
      <c r="BK224" s="18"/>
      <c r="BL224" s="2"/>
      <c r="BM224" s="18"/>
      <c r="BN224" s="29"/>
      <c r="BO224" s="2"/>
      <c r="BP224" s="2"/>
      <c r="BQ224" s="2"/>
      <c r="BR224" s="2"/>
      <c r="BS224" s="2"/>
      <c r="BT224" s="2"/>
      <c r="BU224" s="2"/>
      <c r="BV224" s="2"/>
    </row>
    <row r="225" spans="1:74" ht="14.25" customHeight="1" x14ac:dyDescent="0.6">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18"/>
      <c r="BA225" s="18"/>
      <c r="BB225" s="18"/>
      <c r="BC225" s="18"/>
      <c r="BD225" s="2"/>
      <c r="BE225" s="2"/>
      <c r="BF225" s="2"/>
      <c r="BG225" s="2"/>
      <c r="BH225" s="18"/>
      <c r="BI225" s="18"/>
      <c r="BJ225" s="18"/>
      <c r="BK225" s="18"/>
      <c r="BL225" s="2"/>
      <c r="BM225" s="18"/>
      <c r="BN225" s="29"/>
      <c r="BO225" s="2"/>
      <c r="BP225" s="2"/>
      <c r="BQ225" s="2"/>
      <c r="BR225" s="2"/>
      <c r="BS225" s="2"/>
      <c r="BT225" s="2"/>
      <c r="BU225" s="2"/>
      <c r="BV225" s="2"/>
    </row>
    <row r="226" spans="1:74" ht="14.25" customHeight="1" x14ac:dyDescent="0.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18"/>
      <c r="BA226" s="18"/>
      <c r="BB226" s="18"/>
      <c r="BC226" s="18"/>
      <c r="BD226" s="2"/>
      <c r="BE226" s="2"/>
      <c r="BF226" s="2"/>
      <c r="BG226" s="2"/>
      <c r="BH226" s="18"/>
      <c r="BI226" s="18"/>
      <c r="BJ226" s="18"/>
      <c r="BK226" s="18"/>
      <c r="BL226" s="2"/>
      <c r="BM226" s="18"/>
      <c r="BN226" s="29"/>
      <c r="BO226" s="2"/>
      <c r="BP226" s="2"/>
      <c r="BQ226" s="2"/>
      <c r="BR226" s="2"/>
      <c r="BS226" s="2"/>
      <c r="BT226" s="2"/>
      <c r="BU226" s="2"/>
      <c r="BV226" s="2"/>
    </row>
    <row r="227" spans="1:74" ht="14.25" customHeight="1" x14ac:dyDescent="0.6">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Y227" s="2"/>
      <c r="AZ227" s="18"/>
      <c r="BA227" s="18"/>
      <c r="BB227" s="18"/>
      <c r="BC227" s="18"/>
      <c r="BD227" s="2"/>
      <c r="BE227" s="2"/>
      <c r="BF227" s="2"/>
      <c r="BG227" s="2"/>
      <c r="BH227" s="18"/>
      <c r="BI227" s="18"/>
      <c r="BJ227" s="18"/>
      <c r="BK227" s="18"/>
      <c r="BL227" s="2"/>
      <c r="BM227" s="18"/>
      <c r="BN227" s="29"/>
      <c r="BO227" s="2"/>
      <c r="BP227" s="2"/>
      <c r="BQ227" s="2"/>
      <c r="BR227" s="2"/>
      <c r="BS227" s="2"/>
      <c r="BT227" s="2"/>
      <c r="BU227" s="2"/>
      <c r="BV227" s="2"/>
    </row>
    <row r="228" spans="1:74" ht="14.25" customHeight="1" x14ac:dyDescent="0.6">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18"/>
      <c r="BA228" s="18"/>
      <c r="BB228" s="18"/>
      <c r="BC228" s="18"/>
      <c r="BD228" s="2"/>
      <c r="BE228" s="2"/>
      <c r="BF228" s="2"/>
      <c r="BG228" s="2"/>
      <c r="BH228" s="18"/>
      <c r="BI228" s="18"/>
      <c r="BJ228" s="18"/>
      <c r="BK228" s="18"/>
      <c r="BL228" s="2"/>
      <c r="BM228" s="18"/>
      <c r="BN228" s="29"/>
      <c r="BO228" s="2"/>
      <c r="BP228" s="2"/>
      <c r="BQ228" s="2"/>
      <c r="BR228" s="2"/>
      <c r="BS228" s="2"/>
      <c r="BT228" s="2"/>
      <c r="BU228" s="2"/>
      <c r="BV228" s="2"/>
    </row>
    <row r="229" spans="1:74" ht="14.25" customHeight="1" x14ac:dyDescent="0.6">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18"/>
      <c r="BA229" s="18"/>
      <c r="BB229" s="18"/>
      <c r="BC229" s="18"/>
      <c r="BD229" s="2"/>
      <c r="BE229" s="2"/>
      <c r="BF229" s="2"/>
      <c r="BG229" s="2"/>
      <c r="BH229" s="18"/>
      <c r="BI229" s="18"/>
      <c r="BJ229" s="18"/>
      <c r="BK229" s="18"/>
      <c r="BL229" s="2"/>
      <c r="BM229" s="18"/>
      <c r="BN229" s="29"/>
      <c r="BO229" s="2"/>
      <c r="BP229" s="2"/>
      <c r="BQ229" s="2"/>
      <c r="BR229" s="2"/>
      <c r="BS229" s="2"/>
      <c r="BT229" s="2"/>
      <c r="BU229" s="2"/>
      <c r="BV229" s="2"/>
    </row>
    <row r="230" spans="1:74" ht="14.25" customHeight="1" x14ac:dyDescent="0.6">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18"/>
      <c r="BA230" s="18"/>
      <c r="BB230" s="18"/>
      <c r="BC230" s="18"/>
      <c r="BD230" s="2"/>
      <c r="BE230" s="2"/>
      <c r="BF230" s="2"/>
      <c r="BG230" s="2"/>
      <c r="BH230" s="18"/>
      <c r="BI230" s="18"/>
      <c r="BJ230" s="18"/>
      <c r="BK230" s="18"/>
      <c r="BL230" s="2"/>
      <c r="BM230" s="18"/>
      <c r="BN230" s="29"/>
      <c r="BO230" s="2"/>
      <c r="BP230" s="2"/>
      <c r="BQ230" s="2"/>
      <c r="BR230" s="2"/>
      <c r="BS230" s="2"/>
      <c r="BT230" s="2"/>
      <c r="BU230" s="2"/>
      <c r="BV230" s="2"/>
    </row>
    <row r="231" spans="1:74" ht="14.25" customHeight="1" x14ac:dyDescent="0.6">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18"/>
      <c r="BA231" s="18"/>
      <c r="BB231" s="18"/>
      <c r="BC231" s="18"/>
      <c r="BD231" s="2"/>
      <c r="BE231" s="2"/>
      <c r="BF231" s="2"/>
      <c r="BG231" s="2"/>
      <c r="BH231" s="18"/>
      <c r="BI231" s="18"/>
      <c r="BJ231" s="18"/>
      <c r="BK231" s="18"/>
      <c r="BL231" s="2"/>
      <c r="BM231" s="18"/>
      <c r="BN231" s="29"/>
      <c r="BO231" s="2"/>
      <c r="BP231" s="2"/>
      <c r="BQ231" s="2"/>
      <c r="BR231" s="2"/>
      <c r="BS231" s="2"/>
      <c r="BT231" s="2"/>
      <c r="BU231" s="2"/>
      <c r="BV231" s="2"/>
    </row>
    <row r="232" spans="1:74" ht="14.25" customHeight="1" x14ac:dyDescent="0.6">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18"/>
      <c r="BA232" s="18"/>
      <c r="BB232" s="18"/>
      <c r="BC232" s="18"/>
      <c r="BD232" s="2"/>
      <c r="BE232" s="2"/>
      <c r="BF232" s="2"/>
      <c r="BG232" s="2"/>
      <c r="BH232" s="18"/>
      <c r="BI232" s="18"/>
      <c r="BJ232" s="18"/>
      <c r="BK232" s="18"/>
      <c r="BL232" s="2"/>
      <c r="BM232" s="18"/>
      <c r="BN232" s="29"/>
      <c r="BO232" s="2"/>
      <c r="BP232" s="2"/>
      <c r="BQ232" s="2"/>
      <c r="BR232" s="2"/>
      <c r="BS232" s="2"/>
      <c r="BT232" s="2"/>
      <c r="BU232" s="2"/>
      <c r="BV232" s="2"/>
    </row>
    <row r="233" spans="1:74" ht="14.25" customHeight="1" x14ac:dyDescent="0.6">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18"/>
      <c r="BA233" s="18"/>
      <c r="BB233" s="18"/>
      <c r="BC233" s="18"/>
      <c r="BD233" s="2"/>
      <c r="BE233" s="2"/>
      <c r="BF233" s="2"/>
      <c r="BG233" s="2"/>
      <c r="BH233" s="18"/>
      <c r="BI233" s="18"/>
      <c r="BJ233" s="18"/>
      <c r="BK233" s="18"/>
      <c r="BL233" s="2"/>
      <c r="BM233" s="18"/>
      <c r="BN233" s="29"/>
      <c r="BO233" s="2"/>
      <c r="BP233" s="2"/>
      <c r="BQ233" s="2"/>
      <c r="BR233" s="2"/>
      <c r="BS233" s="2"/>
      <c r="BT233" s="2"/>
      <c r="BU233" s="2"/>
      <c r="BV233" s="2"/>
    </row>
    <row r="234" spans="1:74" ht="14.25" customHeight="1" x14ac:dyDescent="0.6">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18"/>
      <c r="BA234" s="18"/>
      <c r="BB234" s="18"/>
      <c r="BC234" s="18"/>
      <c r="BD234" s="2"/>
      <c r="BE234" s="2"/>
      <c r="BF234" s="2"/>
      <c r="BG234" s="2"/>
      <c r="BH234" s="18"/>
      <c r="BI234" s="18"/>
      <c r="BJ234" s="18"/>
      <c r="BK234" s="18"/>
      <c r="BL234" s="2"/>
      <c r="BM234" s="18"/>
      <c r="BN234" s="29"/>
      <c r="BO234" s="2"/>
      <c r="BP234" s="2"/>
      <c r="BQ234" s="2"/>
      <c r="BR234" s="2"/>
      <c r="BS234" s="2"/>
      <c r="BT234" s="2"/>
      <c r="BU234" s="2"/>
      <c r="BV234" s="2"/>
    </row>
    <row r="235" spans="1:74" ht="14.25" customHeight="1" x14ac:dyDescent="0.6">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18"/>
      <c r="BA235" s="18"/>
      <c r="BB235" s="18"/>
      <c r="BC235" s="18"/>
      <c r="BD235" s="2"/>
      <c r="BE235" s="2"/>
      <c r="BF235" s="2"/>
      <c r="BG235" s="2"/>
      <c r="BH235" s="18"/>
      <c r="BI235" s="18"/>
      <c r="BJ235" s="18"/>
      <c r="BK235" s="18"/>
      <c r="BL235" s="2"/>
      <c r="BM235" s="18"/>
      <c r="BN235" s="29"/>
      <c r="BO235" s="2"/>
      <c r="BP235" s="2"/>
      <c r="BQ235" s="2"/>
      <c r="BR235" s="2"/>
      <c r="BS235" s="2"/>
      <c r="BT235" s="2"/>
      <c r="BU235" s="2"/>
      <c r="BV235" s="2"/>
    </row>
    <row r="236" spans="1:74" ht="14.25" customHeight="1" x14ac:dyDescent="0.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18"/>
      <c r="BA236" s="18"/>
      <c r="BB236" s="18"/>
      <c r="BC236" s="18"/>
      <c r="BD236" s="2"/>
      <c r="BE236" s="2"/>
      <c r="BF236" s="2"/>
      <c r="BG236" s="2"/>
      <c r="BH236" s="18"/>
      <c r="BI236" s="18"/>
      <c r="BJ236" s="18"/>
      <c r="BK236" s="18"/>
      <c r="BL236" s="2"/>
      <c r="BM236" s="18"/>
      <c r="BN236" s="29"/>
      <c r="BO236" s="2"/>
      <c r="BP236" s="2"/>
      <c r="BQ236" s="2"/>
      <c r="BR236" s="2"/>
      <c r="BS236" s="2"/>
      <c r="BT236" s="2"/>
      <c r="BU236" s="2"/>
      <c r="BV236" s="2"/>
    </row>
    <row r="237" spans="1:74" ht="14.25" customHeight="1" x14ac:dyDescent="0.6">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18"/>
      <c r="BA237" s="18"/>
      <c r="BB237" s="18"/>
      <c r="BC237" s="18"/>
      <c r="BD237" s="2"/>
      <c r="BE237" s="2"/>
      <c r="BF237" s="2"/>
      <c r="BG237" s="2"/>
      <c r="BH237" s="18"/>
      <c r="BI237" s="18"/>
      <c r="BJ237" s="18"/>
      <c r="BK237" s="18"/>
      <c r="BL237" s="2"/>
      <c r="BM237" s="18"/>
      <c r="BN237" s="29"/>
      <c r="BO237" s="2"/>
      <c r="BP237" s="2"/>
      <c r="BQ237" s="2"/>
      <c r="BR237" s="2"/>
      <c r="BS237" s="2"/>
      <c r="BT237" s="2"/>
      <c r="BU237" s="2"/>
      <c r="BV237" s="2"/>
    </row>
    <row r="238" spans="1:74" ht="14.25" customHeight="1" x14ac:dyDescent="0.6">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18"/>
      <c r="BA238" s="18"/>
      <c r="BB238" s="18"/>
      <c r="BC238" s="18"/>
      <c r="BD238" s="2"/>
      <c r="BE238" s="2"/>
      <c r="BF238" s="2"/>
      <c r="BG238" s="2"/>
      <c r="BH238" s="18"/>
      <c r="BI238" s="18"/>
      <c r="BJ238" s="18"/>
      <c r="BK238" s="18"/>
      <c r="BL238" s="2"/>
      <c r="BM238" s="18"/>
      <c r="BN238" s="29"/>
      <c r="BO238" s="2"/>
      <c r="BP238" s="2"/>
      <c r="BQ238" s="2"/>
      <c r="BR238" s="2"/>
      <c r="BS238" s="2"/>
      <c r="BT238" s="2"/>
      <c r="BU238" s="2"/>
      <c r="BV238" s="2"/>
    </row>
    <row r="239" spans="1:74" ht="14.25" customHeight="1" x14ac:dyDescent="0.6">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18"/>
      <c r="BA239" s="18"/>
      <c r="BB239" s="18"/>
      <c r="BC239" s="18"/>
      <c r="BD239" s="2"/>
      <c r="BE239" s="2"/>
      <c r="BF239" s="2"/>
      <c r="BG239" s="2"/>
      <c r="BH239" s="18"/>
      <c r="BI239" s="18"/>
      <c r="BJ239" s="18"/>
      <c r="BK239" s="18"/>
      <c r="BL239" s="2"/>
      <c r="BM239" s="18"/>
      <c r="BN239" s="29"/>
      <c r="BO239" s="2"/>
      <c r="BP239" s="2"/>
      <c r="BQ239" s="2"/>
      <c r="BR239" s="2"/>
      <c r="BS239" s="2"/>
      <c r="BT239" s="2"/>
      <c r="BU239" s="2"/>
      <c r="BV239" s="2"/>
    </row>
    <row r="240" spans="1:74" ht="14.25" customHeight="1" x14ac:dyDescent="0.6">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18"/>
      <c r="BA240" s="18"/>
      <c r="BB240" s="18"/>
      <c r="BC240" s="18"/>
      <c r="BD240" s="2"/>
      <c r="BE240" s="2"/>
      <c r="BF240" s="2"/>
      <c r="BG240" s="2"/>
      <c r="BH240" s="18"/>
      <c r="BI240" s="18"/>
      <c r="BJ240" s="18"/>
      <c r="BK240" s="18"/>
      <c r="BL240" s="2"/>
      <c r="BM240" s="18"/>
      <c r="BN240" s="29"/>
      <c r="BO240" s="2"/>
      <c r="BP240" s="2"/>
      <c r="BQ240" s="2"/>
      <c r="BR240" s="2"/>
      <c r="BS240" s="2"/>
      <c r="BT240" s="2"/>
      <c r="BU240" s="2"/>
      <c r="BV240" s="2"/>
    </row>
    <row r="241" spans="1:74" ht="14.25" customHeight="1" x14ac:dyDescent="0.6">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18"/>
      <c r="BA241" s="18"/>
      <c r="BB241" s="18"/>
      <c r="BC241" s="18"/>
      <c r="BD241" s="2"/>
      <c r="BE241" s="2"/>
      <c r="BF241" s="2"/>
      <c r="BG241" s="2"/>
      <c r="BH241" s="18"/>
      <c r="BI241" s="18"/>
      <c r="BJ241" s="18"/>
      <c r="BK241" s="18"/>
      <c r="BL241" s="2"/>
      <c r="BM241" s="18"/>
      <c r="BN241" s="29"/>
      <c r="BO241" s="2"/>
      <c r="BP241" s="2"/>
      <c r="BQ241" s="2"/>
      <c r="BR241" s="2"/>
      <c r="BS241" s="2"/>
      <c r="BT241" s="2"/>
      <c r="BU241" s="2"/>
      <c r="BV241" s="2"/>
    </row>
    <row r="242" spans="1:74" ht="14.25" customHeight="1" x14ac:dyDescent="0.6">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18"/>
      <c r="BA242" s="18"/>
      <c r="BB242" s="18"/>
      <c r="BC242" s="18"/>
      <c r="BD242" s="2"/>
      <c r="BE242" s="2"/>
      <c r="BF242" s="2"/>
      <c r="BG242" s="2"/>
      <c r="BH242" s="18"/>
      <c r="BI242" s="18"/>
      <c r="BJ242" s="18"/>
      <c r="BK242" s="18"/>
      <c r="BL242" s="2"/>
      <c r="BM242" s="18"/>
      <c r="BN242" s="29"/>
      <c r="BO242" s="2"/>
      <c r="BP242" s="2"/>
      <c r="BQ242" s="2"/>
      <c r="BR242" s="2"/>
      <c r="BS242" s="2"/>
      <c r="BT242" s="2"/>
      <c r="BU242" s="2"/>
      <c r="BV242" s="2"/>
    </row>
    <row r="243" spans="1:74" ht="14.25" customHeight="1" x14ac:dyDescent="0.6">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18"/>
      <c r="BA243" s="18"/>
      <c r="BB243" s="18"/>
      <c r="BC243" s="18"/>
      <c r="BD243" s="2"/>
      <c r="BE243" s="2"/>
      <c r="BF243" s="2"/>
      <c r="BG243" s="2"/>
      <c r="BH243" s="18"/>
      <c r="BI243" s="18"/>
      <c r="BJ243" s="18"/>
      <c r="BK243" s="18"/>
      <c r="BL243" s="2"/>
      <c r="BM243" s="18"/>
      <c r="BN243" s="29"/>
      <c r="BO243" s="2"/>
      <c r="BP243" s="2"/>
      <c r="BQ243" s="2"/>
      <c r="BR243" s="2"/>
      <c r="BS243" s="2"/>
      <c r="BT243" s="2"/>
      <c r="BU243" s="2"/>
      <c r="BV243" s="2"/>
    </row>
    <row r="244" spans="1:74" ht="14.25" customHeight="1" x14ac:dyDescent="0.6">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18"/>
      <c r="BA244" s="18"/>
      <c r="BB244" s="18"/>
      <c r="BC244" s="18"/>
      <c r="BD244" s="2"/>
      <c r="BE244" s="2"/>
      <c r="BF244" s="2"/>
      <c r="BG244" s="2"/>
      <c r="BH244" s="18"/>
      <c r="BI244" s="18"/>
      <c r="BJ244" s="18"/>
      <c r="BK244" s="18"/>
      <c r="BL244" s="2"/>
      <c r="BM244" s="18"/>
      <c r="BN244" s="29"/>
      <c r="BO244" s="2"/>
      <c r="BP244" s="2"/>
      <c r="BQ244" s="2"/>
      <c r="BR244" s="2"/>
      <c r="BS244" s="2"/>
      <c r="BT244" s="2"/>
      <c r="BU244" s="2"/>
      <c r="BV244" s="2"/>
    </row>
    <row r="245" spans="1:74" ht="14.25" customHeight="1" x14ac:dyDescent="0.6">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18"/>
      <c r="BA245" s="18"/>
      <c r="BB245" s="18"/>
      <c r="BC245" s="18"/>
      <c r="BD245" s="2"/>
      <c r="BE245" s="2"/>
      <c r="BF245" s="2"/>
      <c r="BG245" s="2"/>
      <c r="BH245" s="18"/>
      <c r="BI245" s="18"/>
      <c r="BJ245" s="18"/>
      <c r="BK245" s="18"/>
      <c r="BL245" s="2"/>
      <c r="BM245" s="18"/>
      <c r="BN245" s="29"/>
      <c r="BO245" s="2"/>
      <c r="BP245" s="2"/>
      <c r="BQ245" s="2"/>
      <c r="BR245" s="2"/>
      <c r="BS245" s="2"/>
      <c r="BT245" s="2"/>
      <c r="BU245" s="2"/>
      <c r="BV245" s="2"/>
    </row>
    <row r="246" spans="1:74" ht="14.25" customHeight="1" x14ac:dyDescent="0.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18"/>
      <c r="BA246" s="18"/>
      <c r="BB246" s="18"/>
      <c r="BC246" s="18"/>
      <c r="BD246" s="2"/>
      <c r="BE246" s="2"/>
      <c r="BF246" s="2"/>
      <c r="BG246" s="2"/>
      <c r="BH246" s="18"/>
      <c r="BI246" s="18"/>
      <c r="BJ246" s="18"/>
      <c r="BK246" s="18"/>
      <c r="BL246" s="2"/>
      <c r="BM246" s="18"/>
      <c r="BN246" s="29"/>
      <c r="BO246" s="2"/>
      <c r="BP246" s="2"/>
      <c r="BQ246" s="2"/>
      <c r="BR246" s="2"/>
      <c r="BS246" s="2"/>
      <c r="BT246" s="2"/>
      <c r="BU246" s="2"/>
      <c r="BV246" s="2"/>
    </row>
    <row r="247" spans="1:74" ht="14.25" customHeight="1" x14ac:dyDescent="0.6">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18"/>
      <c r="BA247" s="18"/>
      <c r="BB247" s="18"/>
      <c r="BC247" s="18"/>
      <c r="BD247" s="2"/>
      <c r="BE247" s="2"/>
      <c r="BF247" s="2"/>
      <c r="BG247" s="2"/>
      <c r="BH247" s="18"/>
      <c r="BI247" s="18"/>
      <c r="BJ247" s="18"/>
      <c r="BK247" s="18"/>
      <c r="BL247" s="2"/>
      <c r="BM247" s="18"/>
      <c r="BN247" s="29"/>
      <c r="BO247" s="2"/>
      <c r="BP247" s="2"/>
      <c r="BQ247" s="2"/>
      <c r="BR247" s="2"/>
      <c r="BS247" s="2"/>
      <c r="BT247" s="2"/>
      <c r="BU247" s="2"/>
      <c r="BV247" s="2"/>
    </row>
    <row r="248" spans="1:74" ht="14.25" customHeight="1" x14ac:dyDescent="0.6">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18"/>
      <c r="BA248" s="18"/>
      <c r="BB248" s="18"/>
      <c r="BC248" s="18"/>
      <c r="BD248" s="2"/>
      <c r="BE248" s="2"/>
      <c r="BF248" s="2"/>
      <c r="BG248" s="2"/>
      <c r="BH248" s="18"/>
      <c r="BI248" s="18"/>
      <c r="BJ248" s="18"/>
      <c r="BK248" s="18"/>
      <c r="BL248" s="2"/>
      <c r="BM248" s="18"/>
      <c r="BN248" s="29"/>
      <c r="BO248" s="2"/>
      <c r="BP248" s="2"/>
      <c r="BQ248" s="2"/>
      <c r="BR248" s="2"/>
      <c r="BS248" s="2"/>
      <c r="BT248" s="2"/>
      <c r="BU248" s="2"/>
      <c r="BV248" s="2"/>
    </row>
    <row r="249" spans="1:74" ht="14.25" customHeight="1" x14ac:dyDescent="0.6">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18"/>
      <c r="BA249" s="18"/>
      <c r="BB249" s="18"/>
      <c r="BC249" s="18"/>
      <c r="BD249" s="2"/>
      <c r="BE249" s="2"/>
      <c r="BF249" s="2"/>
      <c r="BG249" s="2"/>
      <c r="BH249" s="18"/>
      <c r="BI249" s="18"/>
      <c r="BJ249" s="18"/>
      <c r="BK249" s="18"/>
      <c r="BL249" s="2"/>
      <c r="BM249" s="18"/>
      <c r="BN249" s="29"/>
      <c r="BO249" s="2"/>
      <c r="BP249" s="2"/>
      <c r="BQ249" s="2"/>
      <c r="BR249" s="2"/>
      <c r="BS249" s="2"/>
      <c r="BT249" s="2"/>
      <c r="BU249" s="2"/>
      <c r="BV249" s="2"/>
    </row>
    <row r="250" spans="1:74" ht="14.25" customHeight="1" x14ac:dyDescent="0.6">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18"/>
      <c r="BA250" s="18"/>
      <c r="BB250" s="18"/>
      <c r="BC250" s="18"/>
      <c r="BD250" s="2"/>
      <c r="BE250" s="2"/>
      <c r="BF250" s="2"/>
      <c r="BG250" s="2"/>
      <c r="BH250" s="18"/>
      <c r="BI250" s="18"/>
      <c r="BJ250" s="18"/>
      <c r="BK250" s="18"/>
      <c r="BL250" s="2"/>
      <c r="BM250" s="18"/>
      <c r="BN250" s="29"/>
      <c r="BO250" s="2"/>
      <c r="BP250" s="2"/>
      <c r="BQ250" s="2"/>
      <c r="BR250" s="2"/>
      <c r="BS250" s="2"/>
      <c r="BT250" s="2"/>
      <c r="BU250" s="2"/>
      <c r="BV250" s="2"/>
    </row>
    <row r="251" spans="1:74" ht="14.25" customHeight="1" x14ac:dyDescent="0.6"/>
    <row r="252" spans="1:74" ht="14.25" customHeight="1" x14ac:dyDescent="0.6"/>
    <row r="253" spans="1:74" ht="14.25" customHeight="1" x14ac:dyDescent="0.6"/>
    <row r="254" spans="1:74" ht="14.25" customHeight="1" x14ac:dyDescent="0.6"/>
    <row r="255" spans="1:74" ht="14.25" customHeight="1" x14ac:dyDescent="0.6"/>
    <row r="256" spans="1:74" ht="14.25" customHeight="1" x14ac:dyDescent="0.6"/>
    <row r="257" ht="14.25" customHeight="1" x14ac:dyDescent="0.6"/>
    <row r="258" ht="14.25" customHeight="1" x14ac:dyDescent="0.6"/>
    <row r="259" ht="14.25" customHeight="1" x14ac:dyDescent="0.6"/>
    <row r="260" ht="14.25" customHeight="1" x14ac:dyDescent="0.6"/>
    <row r="261" ht="14.25" customHeight="1" x14ac:dyDescent="0.6"/>
    <row r="262" ht="14.25" customHeight="1" x14ac:dyDescent="0.6"/>
    <row r="263" ht="14.25" customHeight="1" x14ac:dyDescent="0.6"/>
    <row r="264" ht="14.25" customHeight="1" x14ac:dyDescent="0.6"/>
    <row r="265" ht="14.25" customHeight="1" x14ac:dyDescent="0.6"/>
    <row r="266" ht="14.25" customHeight="1" x14ac:dyDescent="0.6"/>
    <row r="267" ht="14.25" customHeight="1" x14ac:dyDescent="0.6"/>
    <row r="268" ht="14.25" customHeight="1" x14ac:dyDescent="0.6"/>
    <row r="269" ht="14.25" customHeight="1" x14ac:dyDescent="0.6"/>
    <row r="270" ht="14.25" customHeight="1" x14ac:dyDescent="0.6"/>
    <row r="271" ht="14.25" customHeight="1" x14ac:dyDescent="0.6"/>
    <row r="272" ht="14.25" customHeight="1" x14ac:dyDescent="0.6"/>
    <row r="273" ht="14.25" customHeight="1" x14ac:dyDescent="0.6"/>
    <row r="274" ht="14.25" customHeight="1" x14ac:dyDescent="0.6"/>
    <row r="275" ht="14.25" customHeight="1" x14ac:dyDescent="0.6"/>
    <row r="276" ht="14.25" customHeight="1" x14ac:dyDescent="0.6"/>
    <row r="277" ht="14.25" customHeight="1" x14ac:dyDescent="0.6"/>
    <row r="278" ht="14.25" customHeight="1" x14ac:dyDescent="0.6"/>
    <row r="279" ht="14.25" customHeight="1" x14ac:dyDescent="0.6"/>
    <row r="280" ht="14.25" customHeight="1" x14ac:dyDescent="0.6"/>
    <row r="281" ht="14.25" customHeight="1" x14ac:dyDescent="0.6"/>
    <row r="282" ht="14.25" customHeight="1" x14ac:dyDescent="0.6"/>
    <row r="283" ht="14.25" customHeight="1" x14ac:dyDescent="0.6"/>
    <row r="284" ht="14.25" customHeight="1" x14ac:dyDescent="0.6"/>
    <row r="285" ht="14.25" customHeight="1" x14ac:dyDescent="0.6"/>
    <row r="286" ht="14.25" customHeight="1" x14ac:dyDescent="0.6"/>
    <row r="287" ht="14.25" customHeight="1" x14ac:dyDescent="0.6"/>
    <row r="288" ht="14.25" customHeight="1" x14ac:dyDescent="0.6"/>
    <row r="289" ht="14.25" customHeight="1" x14ac:dyDescent="0.6"/>
    <row r="290" ht="14.25" customHeight="1" x14ac:dyDescent="0.6"/>
    <row r="291" ht="14.25" customHeight="1" x14ac:dyDescent="0.6"/>
    <row r="292" ht="14.25" customHeight="1" x14ac:dyDescent="0.6"/>
    <row r="293" ht="14.25" customHeight="1" x14ac:dyDescent="0.6"/>
    <row r="294" ht="14.25" customHeight="1" x14ac:dyDescent="0.6"/>
    <row r="295" ht="14.25" customHeight="1" x14ac:dyDescent="0.6"/>
    <row r="296" ht="14.25" customHeight="1" x14ac:dyDescent="0.6"/>
    <row r="297" ht="14.25" customHeight="1" x14ac:dyDescent="0.6"/>
    <row r="298" ht="14.25" customHeight="1" x14ac:dyDescent="0.6"/>
    <row r="299" ht="14.25" customHeight="1" x14ac:dyDescent="0.6"/>
    <row r="300" ht="14.25" customHeight="1" x14ac:dyDescent="0.6"/>
    <row r="301" ht="14.25" customHeight="1" x14ac:dyDescent="0.6"/>
    <row r="302" ht="14.25" customHeight="1" x14ac:dyDescent="0.6"/>
    <row r="303" ht="14.25" customHeight="1" x14ac:dyDescent="0.6"/>
    <row r="304" ht="14.25" customHeight="1" x14ac:dyDescent="0.6"/>
    <row r="305" ht="14.25" customHeight="1" x14ac:dyDescent="0.6"/>
    <row r="306" ht="14.25" customHeight="1" x14ac:dyDescent="0.6"/>
    <row r="307" ht="14.25" customHeight="1" x14ac:dyDescent="0.6"/>
    <row r="308" ht="14.25" customHeight="1" x14ac:dyDescent="0.6"/>
    <row r="309" ht="14.25" customHeight="1" x14ac:dyDescent="0.6"/>
    <row r="310" ht="14.25" customHeight="1" x14ac:dyDescent="0.6"/>
    <row r="311" ht="14.25" customHeight="1" x14ac:dyDescent="0.6"/>
    <row r="312" ht="14.25" customHeight="1" x14ac:dyDescent="0.6"/>
    <row r="313" ht="14.25" customHeight="1" x14ac:dyDescent="0.6"/>
    <row r="314" ht="14.25" customHeight="1" x14ac:dyDescent="0.6"/>
    <row r="315" ht="14.25" customHeight="1" x14ac:dyDescent="0.6"/>
    <row r="316" ht="14.25" customHeight="1" x14ac:dyDescent="0.6"/>
    <row r="317" ht="14.25" customHeight="1" x14ac:dyDescent="0.6"/>
    <row r="318" ht="14.25" customHeight="1" x14ac:dyDescent="0.6"/>
    <row r="319" ht="14.25" customHeight="1" x14ac:dyDescent="0.6"/>
    <row r="320" ht="14.25" customHeight="1" x14ac:dyDescent="0.6"/>
    <row r="321" ht="14.25" customHeight="1" x14ac:dyDescent="0.6"/>
    <row r="322" ht="14.25" customHeight="1" x14ac:dyDescent="0.6"/>
    <row r="349" spans="9:9" x14ac:dyDescent="0.6">
      <c r="I349">
        <v>0</v>
      </c>
    </row>
    <row r="1226" spans="2:2" x14ac:dyDescent="0.6">
      <c r="B1226" s="26"/>
    </row>
  </sheetData>
  <sheetProtection password="CC35" sheet="1" objects="1" scenarios="1"/>
  <mergeCells count="148">
    <mergeCell ref="Q212:S212"/>
    <mergeCell ref="N213:O213"/>
    <mergeCell ref="Q213:S213"/>
    <mergeCell ref="N211:O211"/>
    <mergeCell ref="Q211:S211"/>
    <mergeCell ref="N212:O212"/>
    <mergeCell ref="Q214:S214"/>
    <mergeCell ref="Q215:S215"/>
    <mergeCell ref="Q220:S220"/>
    <mergeCell ref="Q216:S216"/>
    <mergeCell ref="N217:O217"/>
    <mergeCell ref="Q217:S217"/>
    <mergeCell ref="N218:O218"/>
    <mergeCell ref="Q218:S218"/>
    <mergeCell ref="N220:O220"/>
    <mergeCell ref="N219:O219"/>
    <mergeCell ref="Q219:S219"/>
    <mergeCell ref="L216:M220"/>
    <mergeCell ref="L196:M200"/>
    <mergeCell ref="N200:O200"/>
    <mergeCell ref="N210:O210"/>
    <mergeCell ref="N204:O204"/>
    <mergeCell ref="N205:O205"/>
    <mergeCell ref="N196:O196"/>
    <mergeCell ref="N197:O197"/>
    <mergeCell ref="N198:O198"/>
    <mergeCell ref="N216:O216"/>
    <mergeCell ref="L201:M205"/>
    <mergeCell ref="L206:M210"/>
    <mergeCell ref="L211:M215"/>
    <mergeCell ref="N214:O214"/>
    <mergeCell ref="N215:O215"/>
    <mergeCell ref="N202:O202"/>
    <mergeCell ref="N199:O199"/>
    <mergeCell ref="K208:K210"/>
    <mergeCell ref="K196:K198"/>
    <mergeCell ref="K199:K201"/>
    <mergeCell ref="K202:K204"/>
    <mergeCell ref="Q210:S210"/>
    <mergeCell ref="Q201:S201"/>
    <mergeCell ref="Q202:S202"/>
    <mergeCell ref="Q203:S203"/>
    <mergeCell ref="N209:O209"/>
    <mergeCell ref="Q204:S204"/>
    <mergeCell ref="Q205:S205"/>
    <mergeCell ref="Q206:S206"/>
    <mergeCell ref="Q207:S207"/>
    <mergeCell ref="N206:O206"/>
    <mergeCell ref="N208:O208"/>
    <mergeCell ref="Q208:S208"/>
    <mergeCell ref="Q209:S209"/>
    <mergeCell ref="N207:O207"/>
    <mergeCell ref="N201:O201"/>
    <mergeCell ref="N203:O203"/>
    <mergeCell ref="Q200:S200"/>
    <mergeCell ref="K7:K8"/>
    <mergeCell ref="L7:N7"/>
    <mergeCell ref="K205:K207"/>
    <mergeCell ref="N193:O193"/>
    <mergeCell ref="N194:O194"/>
    <mergeCell ref="F20:Q20"/>
    <mergeCell ref="Q194:S194"/>
    <mergeCell ref="F18:Q18"/>
    <mergeCell ref="F19:Q19"/>
    <mergeCell ref="N192:O192"/>
    <mergeCell ref="AV60:BB60"/>
    <mergeCell ref="F21:Q21"/>
    <mergeCell ref="J57:S57"/>
    <mergeCell ref="H50:R50"/>
    <mergeCell ref="H43:R43"/>
    <mergeCell ref="F24:Q24"/>
    <mergeCell ref="H48:R48"/>
    <mergeCell ref="F22:Q22"/>
    <mergeCell ref="J60:S60"/>
    <mergeCell ref="AV57:BB57"/>
    <mergeCell ref="F25:Q25"/>
    <mergeCell ref="H47:R47"/>
    <mergeCell ref="F23:Q23"/>
    <mergeCell ref="B11:C14"/>
    <mergeCell ref="B15:C15"/>
    <mergeCell ref="F11:Q11"/>
    <mergeCell ref="F12:Q15"/>
    <mergeCell ref="B16:C16"/>
    <mergeCell ref="IO2:IR7"/>
    <mergeCell ref="F2:Q2"/>
    <mergeCell ref="F3:Q3"/>
    <mergeCell ref="F7:G8"/>
    <mergeCell ref="H7:H8"/>
    <mergeCell ref="O7:Q7"/>
    <mergeCell ref="I7:I8"/>
    <mergeCell ref="J7:J8"/>
    <mergeCell ref="Y2:AA2"/>
    <mergeCell ref="BC3:BI3"/>
    <mergeCell ref="R2:S3"/>
    <mergeCell ref="BM9:BM11"/>
    <mergeCell ref="BN9:BN11"/>
    <mergeCell ref="BO9:BO11"/>
    <mergeCell ref="F9:G9"/>
    <mergeCell ref="BC9:BC10"/>
    <mergeCell ref="BK10:BK11"/>
    <mergeCell ref="BH9:BL9"/>
    <mergeCell ref="BH10:BH11"/>
    <mergeCell ref="BI10:BI11"/>
    <mergeCell ref="BJ10:BJ11"/>
    <mergeCell ref="AV56:BE56"/>
    <mergeCell ref="H46:R46"/>
    <mergeCell ref="BC59:BE59"/>
    <mergeCell ref="J58:S58"/>
    <mergeCell ref="J59:S59"/>
    <mergeCell ref="AV59:BB59"/>
    <mergeCell ref="AV58:BB58"/>
    <mergeCell ref="BC58:BE58"/>
    <mergeCell ref="R21:Y21"/>
    <mergeCell ref="U24:V24"/>
    <mergeCell ref="J55:S55"/>
    <mergeCell ref="S22:Y22"/>
    <mergeCell ref="H28:R31"/>
    <mergeCell ref="S24:T24"/>
    <mergeCell ref="H49:R49"/>
    <mergeCell ref="BC57:BE57"/>
    <mergeCell ref="BB9:BB10"/>
    <mergeCell ref="AZ9:BA9"/>
    <mergeCell ref="U15:Y17"/>
    <mergeCell ref="F17:Q17"/>
    <mergeCell ref="BN142:BO142"/>
    <mergeCell ref="N186:S188"/>
    <mergeCell ref="K35:M35"/>
    <mergeCell ref="Q198:S198"/>
    <mergeCell ref="Q199:S199"/>
    <mergeCell ref="Q196:S196"/>
    <mergeCell ref="Q197:S197"/>
    <mergeCell ref="J62:S62"/>
    <mergeCell ref="J56:S56"/>
    <mergeCell ref="H44:R44"/>
    <mergeCell ref="H45:R45"/>
    <mergeCell ref="J61:S61"/>
    <mergeCell ref="K194:K195"/>
    <mergeCell ref="L190:M190"/>
    <mergeCell ref="N190:O190"/>
    <mergeCell ref="Q190:S190"/>
    <mergeCell ref="Q195:S195"/>
    <mergeCell ref="Q191:S191"/>
    <mergeCell ref="N195:O195"/>
    <mergeCell ref="L191:M195"/>
    <mergeCell ref="N191:O191"/>
    <mergeCell ref="Q192:S192"/>
    <mergeCell ref="Q193:S193"/>
    <mergeCell ref="BC60:BE60"/>
  </mergeCells>
  <phoneticPr fontId="0" type="noConversion"/>
  <conditionalFormatting sqref="B1226">
    <cfRule type="cellIs" dxfId="25" priority="7" stopIfTrue="1" operator="equal">
      <formula>1</formula>
    </cfRule>
  </conditionalFormatting>
  <conditionalFormatting sqref="F19">
    <cfRule type="expression" dxfId="24" priority="8" stopIfTrue="1">
      <formula>$J$9&lt;60</formula>
    </cfRule>
  </conditionalFormatting>
  <conditionalFormatting sqref="F9:G9">
    <cfRule type="expression" dxfId="23" priority="12" stopIfTrue="1">
      <formula>F9=0</formula>
    </cfRule>
    <cfRule type="expression" dxfId="22" priority="13" stopIfTrue="1">
      <formula>YEAR(F9)&lt;1970</formula>
    </cfRule>
    <cfRule type="expression" dxfId="21" priority="14" stopIfTrue="1">
      <formula>YEAR(F9)&gt;2046</formula>
    </cfRule>
  </conditionalFormatting>
  <conditionalFormatting sqref="F17:Q17">
    <cfRule type="expression" dxfId="20" priority="25" stopIfTrue="1">
      <formula>AND($F$12&gt;($I$9*30.4166),$F$9&gt;=DATE(1990,11,27))</formula>
    </cfRule>
  </conditionalFormatting>
  <conditionalFormatting sqref="F18:Q18">
    <cfRule type="expression" dxfId="19" priority="24" stopIfTrue="1">
      <formula>$I$9&gt;ROUND($B$15,2)</formula>
    </cfRule>
  </conditionalFormatting>
  <conditionalFormatting sqref="F20:Q20">
    <cfRule type="expression" dxfId="18" priority="23" stopIfTrue="1">
      <formula>$M$9&gt;9</formula>
    </cfRule>
  </conditionalFormatting>
  <conditionalFormatting sqref="F21:Q21">
    <cfRule type="expression" dxfId="17" priority="9" stopIfTrue="1">
      <formula>$Q$9="NO"</formula>
    </cfRule>
  </conditionalFormatting>
  <conditionalFormatting sqref="F22:Q22">
    <cfRule type="expression" dxfId="16" priority="10" stopIfTrue="1">
      <formula>OR(YEAR($F$9)&lt;=1969,YEAR($F$9)&gt;=2047)</formula>
    </cfRule>
  </conditionalFormatting>
  <conditionalFormatting sqref="F23:Q23">
    <cfRule type="expression" dxfId="15" priority="26" stopIfTrue="1">
      <formula>AND($F$9&lt;DATE(1990,11,27),$F$9&gt;0)</formula>
    </cfRule>
  </conditionalFormatting>
  <conditionalFormatting sqref="F24:Q24">
    <cfRule type="expression" dxfId="14" priority="1" stopIfTrue="1">
      <formula>F12&gt;(9*30.46*$K$9)</formula>
    </cfRule>
  </conditionalFormatting>
  <conditionalFormatting sqref="F25:Q25">
    <cfRule type="expression" dxfId="13" priority="21" stopIfTrue="1">
      <formula>AND($I$9&gt;0,$K$9*365/12&gt;$F$12)</formula>
    </cfRule>
  </conditionalFormatting>
  <conditionalFormatting sqref="H9">
    <cfRule type="expression" dxfId="12" priority="15" stopIfTrue="1">
      <formula>H9=0</formula>
    </cfRule>
    <cfRule type="expression" dxfId="11" priority="16" stopIfTrue="1">
      <formula>H9&lt;500</formula>
    </cfRule>
  </conditionalFormatting>
  <conditionalFormatting sqref="H10">
    <cfRule type="cellIs" dxfId="10" priority="6" stopIfTrue="1" operator="greaterThan">
      <formula>0</formula>
    </cfRule>
  </conditionalFormatting>
  <conditionalFormatting sqref="I9">
    <cfRule type="expression" dxfId="9" priority="3" stopIfTrue="1">
      <formula>I$9&gt;$B$15</formula>
    </cfRule>
  </conditionalFormatting>
  <conditionalFormatting sqref="J9">
    <cfRule type="expression" dxfId="8" priority="17" stopIfTrue="1">
      <formula>J9=0</formula>
    </cfRule>
    <cfRule type="expression" dxfId="7" priority="18" stopIfTrue="1">
      <formula>J9&lt;60</formula>
    </cfRule>
  </conditionalFormatting>
  <conditionalFormatting sqref="L9">
    <cfRule type="expression" dxfId="6" priority="11" stopIfTrue="1">
      <formula>OR(L9=0,L9="si",L9="",L9="NO")</formula>
    </cfRule>
  </conditionalFormatting>
  <conditionalFormatting sqref="M9">
    <cfRule type="cellIs" dxfId="5" priority="22" stopIfTrue="1" operator="greaterThan">
      <formula>9</formula>
    </cfRule>
  </conditionalFormatting>
  <conditionalFormatting sqref="BM12:BM140">
    <cfRule type="cellIs" dxfId="4" priority="20" stopIfTrue="1" operator="greaterThan">
      <formula>0</formula>
    </cfRule>
  </conditionalFormatting>
  <conditionalFormatting sqref="BN12:BO140">
    <cfRule type="cellIs" dxfId="3" priority="5" stopIfTrue="1" operator="greaterThan">
      <formula>0</formula>
    </cfRule>
  </conditionalFormatting>
  <conditionalFormatting sqref="BP11">
    <cfRule type="cellIs" dxfId="2" priority="19" stopIfTrue="1" operator="greaterThan">
      <formula>0</formula>
    </cfRule>
  </conditionalFormatting>
  <conditionalFormatting sqref="BR12:BS12">
    <cfRule type="cellIs" dxfId="1" priority="4" stopIfTrue="1" operator="greaterThan">
      <formula>0</formula>
    </cfRule>
  </conditionalFormatting>
  <conditionalFormatting sqref="IO2:IV7">
    <cfRule type="expression" dxfId="0" priority="2" stopIfTrue="1">
      <formula>IW1225=1</formula>
    </cfRule>
  </conditionalFormatting>
  <dataValidations xWindow="15" yWindow="114" count="15">
    <dataValidation type="custom" errorStyle="warning" allowBlank="1" showInputMessage="1" showErrorMessage="1" error="Salario promedio diario rebasa el tope de cantidad de  salarios mínimos,registre como maximo el indicado en la sección de avisos de captura" promptTitle="Salario promedio" prompt="Se recomienda  haber capturado la fecha en la que se da de baja el trabajador antes de documentar en esta secciòn._x000a__x000a_Registre el salario promedio diario de las ùltimas 250 semanas cotizadas;_x000a_" sqref="I9" xr:uid="{00000000-0002-0000-0000-000000000000}">
      <formula1>I9&lt;=B15</formula1>
    </dataValidation>
    <dataValidation type="custom" showDropDown="1" showInputMessage="1" showErrorMessage="1" error="Solo pudes registrar como màximo 2" promptTitle="Padres" prompt="Coloca  2  si  sobreviven ambos padres_x000a_Coloca   1 si  sobrevive solo uno de los padres_x000a_Requisito:Que dependan econòmicamente del pensionado._x000a_Coloca 0  en caso de que no sobrevivan los padres ò que no dependan econòmicamente del pensionado." sqref="N9" xr:uid="{00000000-0002-0000-0000-000001000000}">
      <formula1>N9&lt;=2</formula1>
    </dataValidation>
    <dataValidation allowBlank="1" showInputMessage="1" showErrorMessage="1" promptTitle="Salarìo Mìnimo" prompt="El salario mínimo se da automàticamente respecto a la fecha en la que se da  de baja como trabajador para solicitar la pensiòn._x000a_Para años posteriores a la fecha actual el salario mínimo es calculado con incrementos anuales del 4%" sqref="K9" xr:uid="{00000000-0002-0000-0000-000002000000}"/>
    <dataValidation type="date" allowBlank="1" showInputMessage="1" showErrorMessage="1" error="Fecha fuera de rango ;solo se aceptan fechas   entre los años 1971 a  2046" promptTitle="Fecha" prompt="Registre la fecha en que se da de baja ante el IMSS como trabajador._x000a__x000a_Utilice el formato  ddmmmaaaa           Ejemplo,( 12mar2008)_x000a__x000a_Solo acepta fechas de 1970 a 2046" sqref="F9:G9" xr:uid="{00000000-0002-0000-0000-000003000000}">
      <formula1>25569</formula1>
      <formula2>53692</formula2>
    </dataValidation>
    <dataValidation type="custom" allowBlank="1" showInputMessage="1" showErrorMessage="1" error="Las semanas cotizadas no pueden ser menores a 500" promptTitle="Semanas cotizadas" prompt="El requisito mìnimo de semanas cotizadas para pensionarse por la Ley del  1973 son, 500 semanas" sqref="H9" xr:uid="{00000000-0002-0000-0000-000004000000}">
      <formula1>H9&gt;=500</formula1>
    </dataValidation>
    <dataValidation type="custom" allowBlank="1" showInputMessage="1" showErrorMessage="1" error="La edad mínima para solicitar pension es de 60 Años" promptTitle="Edad" prompt="Registre la edad al  pensionarse; Considere que con 6 meses mas 1 DIA posteriores a su onomástico, su edad es reconocida por el instituto con una unidad mas" sqref="J9" xr:uid="{00000000-0002-0000-0000-000005000000}">
      <formula1>J9&gt;=60</formula1>
    </dataValidation>
    <dataValidation allowBlank="1" showErrorMessage="1" sqref="U2" xr:uid="{00000000-0002-0000-0000-000006000000}"/>
    <dataValidation allowBlank="1" showInputMessage="1" showErrorMessage="1" promptTitle="Decreto del  5/Ene/04" prompt="Este registro es automàtico ;_x000a_Para fechas anteriores al 5 de Enero del 2004 no se considerara_x000a_ el incremento " sqref="Q9" xr:uid="{00000000-0002-0000-0000-000007000000}"/>
    <dataValidation type="custom" allowBlank="1" showInputMessage="1" showErrorMessage="1" error="En etsa capturra solo se pude registrar las siguientes opciones:_x000a__x000a_Dejar el espacio vacìo,_x000a_ NO_x000a_SI_x000a_ 0_x000a_" promptTitle="Esposa" prompt="Si  Se tiene Esposa o Concubina coloca  SI de lo contrario deja el espacio vacìo o coloca   NO" sqref="L9" xr:uid="{00000000-0002-0000-0000-000008000000}">
      <formula1>OR(L9=0,L9="si",L9="",L9="NO")</formula1>
    </dataValidation>
    <dataValidation type="custom" allowBlank="1" showInputMessage="1" showErrorMessage="1" error="Elsimulador solo acepta registros de hasta 9 Hijos" promptTitle="Hijos" prompt="Coloca la cantidad que resulte de la suma de los siguientes rubros:_x000a_1.- Hijos menores de 16 Años_x000a_2.-Hijos mayores de16 pero menores de 25 años que acrediten que   estan estudiando_x000a_3.-hijos declarados incapacitados ens terminos de la Ley" sqref="M9" xr:uid="{00000000-0002-0000-0000-000009000000}">
      <formula1>M9&lt;=9</formula1>
    </dataValidation>
    <dataValidation allowBlank="1" showInputMessage="1" showErrorMessage="1" promptTitle="% por Ayuda Asistencial" prompt="15% de incremento, si no se acreditó carga familiar en todos los rubros de Asignaciones Familiares._x000a_10% de incremento si en los rubros de Asignación Familiar  solo acreditò sobre vivencia de uno de los padres y que dependa económicamente del pensionado_x000a_" sqref="P9" xr:uid="{00000000-0002-0000-0000-00000A000000}"/>
    <dataValidation showDropDown="1" showInputMessage="1" showErrorMessage="1" error="Solo pudes registrar como màximo 2" promptTitle="% por Asignaciòn Familiar" prompt="_x000a_15% Si se tiene solo esposa_x000a_25% Si se tiene Esposa y 1 Hijo_x000a_35% Si se tiene Esposa y 2 Hijos_x000a_10% Si se tiene solo un padre y que depenan economicamente del pensionado_x000a_20% si se tienen los 2 padres y que dependan economicamente del pensionado" sqref="O9" xr:uid="{00000000-0002-0000-0000-00000B000000}"/>
    <dataValidation type="custom" allowBlank="1" showInputMessage="1" showErrorMessage="1" error="El sistema solo acepta registros de fechas iguales o anteriores a la fecha actual" promptTitle="Fecha de inicio de la vigencia" prompt="Documente la Fecha de inicio de la vigencia de la modificación, utilice el formato ddmmmaaaa_x000a_El sistema solo acepta registros de Fechas iguales o  anteriores a la Fecha actual_x000a_" sqref="N191:O220" xr:uid="{00000000-0002-0000-0000-00000C000000}">
      <formula1>N191&lt;=TODAY()</formula1>
    </dataValidation>
    <dataValidation allowBlank="1" showInputMessage="1" showErrorMessage="1" prompt="Si existe modificación al tope de referencia documente el nuevo valor; de lo contario deje el espacio vació o documente el valor que este vigente en este momento" sqref="P191:P220" xr:uid="{00000000-0002-0000-0000-00000D000000}"/>
    <dataValidation allowBlank="1" showInputMessage="1" showErrorMessage="1" prompt="Si existe modificación al  Salario Mínimo documente el nuevo valor; de lo contario deje el espacio vació o documente el valor que este vigente en este momento" sqref="Q191:S220" xr:uid="{00000000-0002-0000-0000-00000E000000}"/>
  </dataValidations>
  <pageMargins left="0.75" right="0.75" top="1" bottom="1" header="0" footer="0"/>
  <pageSetup scale="55" orientation="landscape" r:id="rId1"/>
  <headerFooter alignWithMargins="0"/>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Calculo Pension</vt:lpstr>
      <vt:lpstr>'Calculo Pension'!Área_de_impresión</vt:lpstr>
    </vt:vector>
  </TitlesOfParts>
  <Company>BAXTER MEXICO S. DE R.L. DE C.V.</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floresl5</dc:creator>
  <cp:lastModifiedBy>Juan Carlos Espinosa Peña</cp:lastModifiedBy>
  <cp:lastPrinted>2025-05-15T16:23:01Z</cp:lastPrinted>
  <dcterms:created xsi:type="dcterms:W3CDTF">2008-05-11T19:04:14Z</dcterms:created>
  <dcterms:modified xsi:type="dcterms:W3CDTF">2026-01-22T03:59:49Z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5b52f0d-373d-4b21-a6e9-acab057357af_Enabled">
    <vt:lpwstr>true</vt:lpwstr>
  </property>
  <property fmtid="{D5CDD505-2E9C-101B-9397-08002B2CF9AE}" pid="3" name="MSIP_Label_75b52f0d-373d-4b21-a6e9-acab057357af_SetDate">
    <vt:lpwstr>2022-01-31T21:59:27Z</vt:lpwstr>
  </property>
  <property fmtid="{D5CDD505-2E9C-101B-9397-08002B2CF9AE}" pid="4" name="MSIP_Label_75b52f0d-373d-4b21-a6e9-acab057357af_Method">
    <vt:lpwstr>Privileged</vt:lpwstr>
  </property>
  <property fmtid="{D5CDD505-2E9C-101B-9397-08002B2CF9AE}" pid="5" name="MSIP_Label_75b52f0d-373d-4b21-a6e9-acab057357af_Name">
    <vt:lpwstr>Axtel - Alfa</vt:lpwstr>
  </property>
  <property fmtid="{D5CDD505-2E9C-101B-9397-08002B2CF9AE}" pid="6" name="MSIP_Label_75b52f0d-373d-4b21-a6e9-acab057357af_SiteId">
    <vt:lpwstr>f3134160-5a73-4fa3-800f-2c274653fae1</vt:lpwstr>
  </property>
  <property fmtid="{D5CDD505-2E9C-101B-9397-08002B2CF9AE}" pid="7" name="MSIP_Label_75b52f0d-373d-4b21-a6e9-acab057357af_ActionId">
    <vt:lpwstr>80c79396-d90f-49f8-99a0-c598e758629a</vt:lpwstr>
  </property>
  <property fmtid="{D5CDD505-2E9C-101B-9397-08002B2CF9AE}" pid="8" name="MSIP_Label_75b52f0d-373d-4b21-a6e9-acab057357af_ContentBits">
    <vt:lpwstr>0</vt:lpwstr>
  </property>
</Properties>
</file>