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E:\Tramites de Pensiones\fundamento ley imss 73 y 97\carlos andres\"/>
    </mc:Choice>
  </mc:AlternateContent>
  <xr:revisionPtr revIDLastSave="0" documentId="8_{19B7A513-930F-4E97-B9BE-DE070B0626A8}" xr6:coauthVersionLast="47" xr6:coauthVersionMax="47" xr10:uidLastSave="{00000000-0000-0000-0000-000000000000}"/>
  <workbookProtection workbookAlgorithmName="SHA-512" workbookHashValue="luV6tAG2ba7mukplaI48NkXlbU2YpRxMsGQyWOP5sExaSmjMDhA6VAx39qw18K6pVNWmF8z6r+7Nj9v2f6hIHA==" workbookSaltValue="Dcamsqqw1RK66XQm12/7rw==" workbookSpinCount="100000" lockStructure="1"/>
  <bookViews>
    <workbookView xWindow="-90" yWindow="-90" windowWidth="19380" windowHeight="10380" xr2:uid="{75A25CA4-561F-4972-9A6E-7C342F454D8A}"/>
  </bookViews>
  <sheets>
    <sheet name="Cálculo de Pensión" sheetId="20" r:id="rId1"/>
    <sheet name="Salario Promedio" sheetId="38" r:id="rId2"/>
    <sheet name="AmortizaciónPagos" sheetId="29" r:id="rId3"/>
    <sheet name="TblDePagosMod40" sheetId="27" r:id="rId4"/>
    <sheet name="TblISR" sheetId="41" r:id="rId5"/>
    <sheet name="Gráfico1" sheetId="39" state="hidden" r:id="rId6"/>
    <sheet name="TblPorcentajesLey73" sheetId="21" state="veryHidden" r:id="rId7"/>
  </sheets>
  <definedNames>
    <definedName name="_xlnm.Print_Area" localSheetId="2">AmortizaciónPagos!$C$2:$AZ$28</definedName>
    <definedName name="_xlnm.Print_Area" localSheetId="0">'Cálculo de Pensión'!$B$2:$F$98</definedName>
    <definedName name="_xlnm.Print_Area" localSheetId="1">'Salario Promedio'!$B$2:$G$68</definedName>
    <definedName name="INPC">#REF!</definedName>
    <definedName name="MESES">#REF!</definedName>
    <definedName name="NoPadres">#REF!</definedName>
    <definedName name="Respues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38" l="1"/>
  <c r="AE20" i="29"/>
  <c r="AE19" i="29"/>
  <c r="AE18" i="29"/>
  <c r="AE17" i="29"/>
  <c r="AE16" i="29"/>
  <c r="AE15" i="29"/>
  <c r="AE14" i="29"/>
  <c r="AE13" i="29"/>
  <c r="AE12" i="29"/>
  <c r="AE11" i="29"/>
  <c r="AE10" i="29"/>
  <c r="AE9" i="29"/>
  <c r="F20" i="29"/>
  <c r="F19" i="29"/>
  <c r="F18" i="29"/>
  <c r="F17" i="29"/>
  <c r="F16" i="29"/>
  <c r="P10" i="29"/>
  <c r="F15" i="41"/>
  <c r="F14" i="41"/>
  <c r="F13" i="41"/>
  <c r="F12" i="41"/>
  <c r="F11" i="41"/>
  <c r="F10" i="41"/>
  <c r="F9" i="41"/>
  <c r="F8" i="41"/>
  <c r="F7" i="41"/>
  <c r="AY20" i="29"/>
  <c r="AY19" i="29"/>
  <c r="AY18" i="29"/>
  <c r="AY17" i="29"/>
  <c r="AY16" i="29"/>
  <c r="AY15" i="29"/>
  <c r="AY14" i="29"/>
  <c r="AY13" i="29"/>
  <c r="AY12" i="29"/>
  <c r="AY11" i="29"/>
  <c r="AY10" i="29"/>
  <c r="AY9" i="29"/>
  <c r="L12" i="21"/>
  <c r="DZ29" i="27" l="1"/>
  <c r="EB29" i="27" s="1"/>
  <c r="DY29" i="27"/>
  <c r="DY28" i="27"/>
  <c r="DZ28" i="27" s="1"/>
  <c r="EA28" i="27" s="1"/>
  <c r="DY27" i="27"/>
  <c r="DZ27" i="27" s="1"/>
  <c r="DY26" i="27"/>
  <c r="DZ26" i="27" s="1"/>
  <c r="DY25" i="27"/>
  <c r="DZ25" i="27" s="1"/>
  <c r="DY24" i="27"/>
  <c r="DZ24" i="27" s="1"/>
  <c r="DY23" i="27"/>
  <c r="DZ23" i="27" s="1"/>
  <c r="DY22" i="27"/>
  <c r="DZ22" i="27" s="1"/>
  <c r="DY21" i="27"/>
  <c r="DZ21" i="27" s="1"/>
  <c r="DY20" i="27"/>
  <c r="DZ20" i="27" s="1"/>
  <c r="EC20" i="27" s="1"/>
  <c r="DY19" i="27"/>
  <c r="DZ19" i="27" s="1"/>
  <c r="DY18" i="27"/>
  <c r="DZ18" i="27" s="1"/>
  <c r="DY17" i="27"/>
  <c r="DZ17" i="27" s="1"/>
  <c r="DY16" i="27"/>
  <c r="DZ16" i="27" s="1"/>
  <c r="DY15" i="27"/>
  <c r="DZ15" i="27" s="1"/>
  <c r="DY14" i="27"/>
  <c r="DZ14" i="27" s="1"/>
  <c r="DY13" i="27"/>
  <c r="DZ13" i="27" s="1"/>
  <c r="EB13" i="27" s="1"/>
  <c r="DY12" i="27"/>
  <c r="DZ12" i="27" s="1"/>
  <c r="EC12" i="27" s="1"/>
  <c r="DY11" i="27"/>
  <c r="DZ11" i="27" s="1"/>
  <c r="DY10" i="27"/>
  <c r="DZ10" i="27" s="1"/>
  <c r="DY9" i="27"/>
  <c r="DZ9" i="27" s="1"/>
  <c r="DY8" i="27"/>
  <c r="DZ8" i="27" s="1"/>
  <c r="DY7" i="27"/>
  <c r="DZ7" i="27" s="1"/>
  <c r="DY6" i="27"/>
  <c r="DZ6" i="27" s="1"/>
  <c r="DZ5" i="27"/>
  <c r="EB5" i="27" s="1"/>
  <c r="DR29" i="27"/>
  <c r="DS29" i="27" s="1"/>
  <c r="DR28" i="27"/>
  <c r="DS28" i="27" s="1"/>
  <c r="DR27" i="27"/>
  <c r="DS27" i="27" s="1"/>
  <c r="DR26" i="27"/>
  <c r="DS26" i="27" s="1"/>
  <c r="DS25" i="27"/>
  <c r="DV25" i="27" s="1"/>
  <c r="DR25" i="27"/>
  <c r="DR24" i="27"/>
  <c r="DS24" i="27" s="1"/>
  <c r="DV24" i="27" s="1"/>
  <c r="DR23" i="27"/>
  <c r="DS23" i="27" s="1"/>
  <c r="DR22" i="27"/>
  <c r="DS22" i="27" s="1"/>
  <c r="DR21" i="27"/>
  <c r="DS21" i="27" s="1"/>
  <c r="DR20" i="27"/>
  <c r="DS20" i="27" s="1"/>
  <c r="DR19" i="27"/>
  <c r="DS19" i="27" s="1"/>
  <c r="DR18" i="27"/>
  <c r="DS18" i="27" s="1"/>
  <c r="DR17" i="27"/>
  <c r="DS17" i="27" s="1"/>
  <c r="DV17" i="27" s="1"/>
  <c r="DR16" i="27"/>
  <c r="DS16" i="27" s="1"/>
  <c r="DV16" i="27" s="1"/>
  <c r="DR15" i="27"/>
  <c r="DS15" i="27" s="1"/>
  <c r="DR14" i="27"/>
  <c r="DS14" i="27" s="1"/>
  <c r="DR13" i="27"/>
  <c r="DS13" i="27" s="1"/>
  <c r="DR12" i="27"/>
  <c r="DS12" i="27" s="1"/>
  <c r="DR11" i="27"/>
  <c r="DS11" i="27" s="1"/>
  <c r="DR10" i="27"/>
  <c r="DS10" i="27" s="1"/>
  <c r="DR9" i="27"/>
  <c r="DS9" i="27" s="1"/>
  <c r="DT9" i="27" s="1"/>
  <c r="DS8" i="27"/>
  <c r="DV8" i="27" s="1"/>
  <c r="DR8" i="27"/>
  <c r="DS7" i="27"/>
  <c r="DT7" i="27" s="1"/>
  <c r="DR7" i="27"/>
  <c r="DR6" i="27"/>
  <c r="DS6" i="27" s="1"/>
  <c r="DS5" i="27"/>
  <c r="DV5" i="27" s="1"/>
  <c r="DK29" i="27"/>
  <c r="DL29" i="27" s="1"/>
  <c r="DK28" i="27"/>
  <c r="DL28" i="27" s="1"/>
  <c r="DK27" i="27"/>
  <c r="DL27" i="27" s="1"/>
  <c r="DK26" i="27"/>
  <c r="DL26" i="27" s="1"/>
  <c r="DK25" i="27"/>
  <c r="DL25" i="27" s="1"/>
  <c r="DK24" i="27"/>
  <c r="DL24" i="27" s="1"/>
  <c r="DK23" i="27"/>
  <c r="DL23" i="27" s="1"/>
  <c r="DK22" i="27"/>
  <c r="DL22" i="27" s="1"/>
  <c r="DO22" i="27" s="1"/>
  <c r="DK21" i="27"/>
  <c r="DL21" i="27" s="1"/>
  <c r="DK20" i="27"/>
  <c r="DL20" i="27" s="1"/>
  <c r="DK19" i="27"/>
  <c r="DL19" i="27" s="1"/>
  <c r="DK18" i="27"/>
  <c r="DL18" i="27" s="1"/>
  <c r="DK17" i="27"/>
  <c r="DL17" i="27" s="1"/>
  <c r="DK16" i="27"/>
  <c r="DL16" i="27" s="1"/>
  <c r="DK15" i="27"/>
  <c r="DL15" i="27" s="1"/>
  <c r="DL14" i="27"/>
  <c r="DO14" i="27" s="1"/>
  <c r="DK14" i="27"/>
  <c r="DK13" i="27"/>
  <c r="DL13" i="27" s="1"/>
  <c r="DK12" i="27"/>
  <c r="DL12" i="27" s="1"/>
  <c r="DK11" i="27"/>
  <c r="DL11" i="27" s="1"/>
  <c r="DK10" i="27"/>
  <c r="DL10" i="27" s="1"/>
  <c r="DK9" i="27"/>
  <c r="DL9" i="27" s="1"/>
  <c r="DK8" i="27"/>
  <c r="DL8" i="27" s="1"/>
  <c r="DK7" i="27"/>
  <c r="DL7" i="27" s="1"/>
  <c r="DK6" i="27"/>
  <c r="DL6" i="27" s="1"/>
  <c r="DO6" i="27" s="1"/>
  <c r="DL5" i="27"/>
  <c r="DO5" i="27" s="1"/>
  <c r="DD29" i="27"/>
  <c r="DE29" i="27" s="1"/>
  <c r="DD28" i="27"/>
  <c r="DE28" i="27" s="1"/>
  <c r="DD27" i="27"/>
  <c r="DE27" i="27" s="1"/>
  <c r="DD26" i="27"/>
  <c r="DE26" i="27" s="1"/>
  <c r="DD25" i="27"/>
  <c r="DE25" i="27" s="1"/>
  <c r="DF25" i="27" s="1"/>
  <c r="DD24" i="27"/>
  <c r="DE24" i="27" s="1"/>
  <c r="DH24" i="27" s="1"/>
  <c r="DE23" i="27"/>
  <c r="DH23" i="27" s="1"/>
  <c r="DD23" i="27"/>
  <c r="DD22" i="27"/>
  <c r="DE22" i="27" s="1"/>
  <c r="DD21" i="27"/>
  <c r="DE21" i="27" s="1"/>
  <c r="DD20" i="27"/>
  <c r="DE20" i="27" s="1"/>
  <c r="DD19" i="27"/>
  <c r="DE19" i="27" s="1"/>
  <c r="DD18" i="27"/>
  <c r="DE18" i="27" s="1"/>
  <c r="DD17" i="27"/>
  <c r="DE17" i="27" s="1"/>
  <c r="DH17" i="27" s="1"/>
  <c r="DE16" i="27"/>
  <c r="DH16" i="27" s="1"/>
  <c r="DD16" i="27"/>
  <c r="DD15" i="27"/>
  <c r="DE15" i="27" s="1"/>
  <c r="DD14" i="27"/>
  <c r="DE14" i="27" s="1"/>
  <c r="DD13" i="27"/>
  <c r="DE13" i="27" s="1"/>
  <c r="DD12" i="27"/>
  <c r="DE12" i="27" s="1"/>
  <c r="DD11" i="27"/>
  <c r="DE11" i="27" s="1"/>
  <c r="DD10" i="27"/>
  <c r="DE10" i="27" s="1"/>
  <c r="DD9" i="27"/>
  <c r="DE9" i="27" s="1"/>
  <c r="DF9" i="27" s="1"/>
  <c r="DD8" i="27"/>
  <c r="DE8" i="27" s="1"/>
  <c r="DH8" i="27" s="1"/>
  <c r="DD7" i="27"/>
  <c r="DE7" i="27" s="1"/>
  <c r="DD6" i="27"/>
  <c r="DE6" i="27" s="1"/>
  <c r="DE5" i="27"/>
  <c r="DG5" i="27" s="1"/>
  <c r="CW29" i="27"/>
  <c r="CX29" i="27" s="1"/>
  <c r="CW28" i="27"/>
  <c r="CX28" i="27" s="1"/>
  <c r="DA28" i="27" s="1"/>
  <c r="CW27" i="27"/>
  <c r="CX27" i="27" s="1"/>
  <c r="CW26" i="27"/>
  <c r="CX26" i="27" s="1"/>
  <c r="CW25" i="27"/>
  <c r="CX25" i="27" s="1"/>
  <c r="CW24" i="27"/>
  <c r="CX24" i="27" s="1"/>
  <c r="CW23" i="27"/>
  <c r="CX23" i="27" s="1"/>
  <c r="CW22" i="27"/>
  <c r="CX22" i="27" s="1"/>
  <c r="DA22" i="27" s="1"/>
  <c r="CW21" i="27"/>
  <c r="CX21" i="27" s="1"/>
  <c r="CX20" i="27"/>
  <c r="CZ20" i="27" s="1"/>
  <c r="CW20" i="27"/>
  <c r="CW19" i="27"/>
  <c r="CX19" i="27" s="1"/>
  <c r="CW18" i="27"/>
  <c r="CX18" i="27" s="1"/>
  <c r="CW17" i="27"/>
  <c r="CX17" i="27" s="1"/>
  <c r="CW16" i="27"/>
  <c r="CX16" i="27" s="1"/>
  <c r="CW15" i="27"/>
  <c r="CX15" i="27" s="1"/>
  <c r="CW14" i="27"/>
  <c r="CX14" i="27" s="1"/>
  <c r="DA14" i="27" s="1"/>
  <c r="CW13" i="27"/>
  <c r="CX13" i="27" s="1"/>
  <c r="CW12" i="27"/>
  <c r="CX12" i="27" s="1"/>
  <c r="DA12" i="27" s="1"/>
  <c r="CW11" i="27"/>
  <c r="CX11" i="27" s="1"/>
  <c r="CW10" i="27"/>
  <c r="CX10" i="27" s="1"/>
  <c r="CW9" i="27"/>
  <c r="CX9" i="27" s="1"/>
  <c r="CW8" i="27"/>
  <c r="CX8" i="27" s="1"/>
  <c r="CW7" i="27"/>
  <c r="CX7" i="27" s="1"/>
  <c r="CX6" i="27"/>
  <c r="DA6" i="27" s="1"/>
  <c r="CW6" i="27"/>
  <c r="DA5" i="27"/>
  <c r="CZ5" i="27"/>
  <c r="CY5" i="27"/>
  <c r="CX5" i="27"/>
  <c r="CM20" i="29"/>
  <c r="CN20" i="29" s="1"/>
  <c r="CM19" i="29"/>
  <c r="CN19" i="29" s="1"/>
  <c r="CM18" i="29"/>
  <c r="CN18" i="29" s="1"/>
  <c r="CM17" i="29"/>
  <c r="CN17" i="29" s="1"/>
  <c r="CM16" i="29"/>
  <c r="CN16" i="29" s="1"/>
  <c r="CM15" i="29"/>
  <c r="CN15" i="29" s="1"/>
  <c r="CM14" i="29"/>
  <c r="CN14" i="29" s="1"/>
  <c r="CM13" i="29"/>
  <c r="CN13" i="29" s="1"/>
  <c r="CM12" i="29"/>
  <c r="CN12" i="29" s="1"/>
  <c r="CM11" i="29"/>
  <c r="CN11" i="29" s="1"/>
  <c r="CM10" i="29"/>
  <c r="CN10" i="29" s="1"/>
  <c r="CM9" i="29"/>
  <c r="CN9" i="29" s="1"/>
  <c r="CH20" i="29"/>
  <c r="CI20" i="29" s="1"/>
  <c r="CH19" i="29"/>
  <c r="CI19" i="29" s="1"/>
  <c r="CH18" i="29"/>
  <c r="CI18" i="29" s="1"/>
  <c r="CH17" i="29"/>
  <c r="CI17" i="29" s="1"/>
  <c r="CH16" i="29"/>
  <c r="CI16" i="29" s="1"/>
  <c r="CH15" i="29"/>
  <c r="CI15" i="29" s="1"/>
  <c r="CH14" i="29"/>
  <c r="CI14" i="29" s="1"/>
  <c r="CH13" i="29"/>
  <c r="CI13" i="29" s="1"/>
  <c r="CH12" i="29"/>
  <c r="CI12" i="29" s="1"/>
  <c r="CH11" i="29"/>
  <c r="CI11" i="29" s="1"/>
  <c r="CH10" i="29"/>
  <c r="CI10" i="29" s="1"/>
  <c r="CH9" i="29"/>
  <c r="CI9" i="29" s="1"/>
  <c r="CC20" i="29"/>
  <c r="CD20" i="29" s="1"/>
  <c r="CC19" i="29"/>
  <c r="CD19" i="29" s="1"/>
  <c r="CC18" i="29"/>
  <c r="CD18" i="29" s="1"/>
  <c r="CC17" i="29"/>
  <c r="CD17" i="29" s="1"/>
  <c r="CC16" i="29"/>
  <c r="CD16" i="29" s="1"/>
  <c r="CC15" i="29"/>
  <c r="CD15" i="29" s="1"/>
  <c r="CC14" i="29"/>
  <c r="CD14" i="29" s="1"/>
  <c r="CC13" i="29"/>
  <c r="CD13" i="29" s="1"/>
  <c r="CC12" i="29"/>
  <c r="CD12" i="29" s="1"/>
  <c r="CC11" i="29"/>
  <c r="CD11" i="29" s="1"/>
  <c r="CC10" i="29"/>
  <c r="CD10" i="29" s="1"/>
  <c r="CC9" i="29"/>
  <c r="CD9" i="29" s="1"/>
  <c r="BX20" i="29"/>
  <c r="BY20" i="29" s="1"/>
  <c r="BX19" i="29"/>
  <c r="BY19" i="29" s="1"/>
  <c r="BX18" i="29"/>
  <c r="BY18" i="29" s="1"/>
  <c r="BX17" i="29"/>
  <c r="BY17" i="29" s="1"/>
  <c r="BX16" i="29"/>
  <c r="BY16" i="29" s="1"/>
  <c r="BX15" i="29"/>
  <c r="BY15" i="29" s="1"/>
  <c r="BX14" i="29"/>
  <c r="BY14" i="29" s="1"/>
  <c r="BX13" i="29"/>
  <c r="BY13" i="29" s="1"/>
  <c r="BX12" i="29"/>
  <c r="BY12" i="29" s="1"/>
  <c r="BX11" i="29"/>
  <c r="BY11" i="29" s="1"/>
  <c r="BX10" i="29"/>
  <c r="BY10" i="29" s="1"/>
  <c r="BX9" i="29"/>
  <c r="BZ9" i="29" s="1"/>
  <c r="BS20" i="29"/>
  <c r="BT20" i="29" s="1"/>
  <c r="BS19" i="29"/>
  <c r="BT19" i="29" s="1"/>
  <c r="BS18" i="29"/>
  <c r="BT18" i="29" s="1"/>
  <c r="BS17" i="29"/>
  <c r="BT17" i="29" s="1"/>
  <c r="BS16" i="29"/>
  <c r="BT16" i="29" s="1"/>
  <c r="BS15" i="29"/>
  <c r="BT15" i="29" s="1"/>
  <c r="BS14" i="29"/>
  <c r="BT14" i="29" s="1"/>
  <c r="BS13" i="29"/>
  <c r="BT13" i="29" s="1"/>
  <c r="BS12" i="29"/>
  <c r="BT12" i="29" s="1"/>
  <c r="BS11" i="29"/>
  <c r="BT11" i="29" s="1"/>
  <c r="BS10" i="29"/>
  <c r="BT10" i="29" s="1"/>
  <c r="BS9" i="29"/>
  <c r="BT9" i="29" s="1"/>
  <c r="CO19" i="29" l="1"/>
  <c r="EB7" i="27"/>
  <c r="EC7" i="27"/>
  <c r="EA7" i="27"/>
  <c r="EC5" i="27"/>
  <c r="CO11" i="29"/>
  <c r="CZ23" i="27"/>
  <c r="CY23" i="27"/>
  <c r="DA23" i="27"/>
  <c r="CY10" i="27"/>
  <c r="DA10" i="27"/>
  <c r="CZ10" i="27"/>
  <c r="DH28" i="27"/>
  <c r="DF28" i="27"/>
  <c r="DG28" i="27"/>
  <c r="DH12" i="27"/>
  <c r="DG12" i="27"/>
  <c r="DF12" i="27"/>
  <c r="DH20" i="27"/>
  <c r="DF20" i="27"/>
  <c r="DG20" i="27"/>
  <c r="DG23" i="27"/>
  <c r="DF23" i="27"/>
  <c r="DH5" i="27"/>
  <c r="DM23" i="27"/>
  <c r="DO23" i="27"/>
  <c r="DM15" i="27"/>
  <c r="DO15" i="27"/>
  <c r="DN9" i="27"/>
  <c r="DM9" i="27"/>
  <c r="DO17" i="27"/>
  <c r="DM17" i="27"/>
  <c r="DM7" i="27"/>
  <c r="DO7" i="27"/>
  <c r="DO25" i="27"/>
  <c r="DM25" i="27"/>
  <c r="DN5" i="27"/>
  <c r="DT23" i="27"/>
  <c r="DU23" i="27"/>
  <c r="DV23" i="27"/>
  <c r="DT15" i="27"/>
  <c r="DV15" i="27"/>
  <c r="DU15" i="27"/>
  <c r="DU7" i="27"/>
  <c r="DV7" i="27"/>
  <c r="EC23" i="27"/>
  <c r="EB23" i="27"/>
  <c r="EA23" i="27"/>
  <c r="EB21" i="27"/>
  <c r="EC21" i="27"/>
  <c r="EC15" i="27"/>
  <c r="EB15" i="27"/>
  <c r="EA15" i="27"/>
  <c r="EC13" i="27"/>
  <c r="EC29" i="27"/>
  <c r="EC24" i="27"/>
  <c r="EA24" i="27"/>
  <c r="EB24" i="27"/>
  <c r="EC25" i="27"/>
  <c r="EB25" i="27"/>
  <c r="EA25" i="27"/>
  <c r="EC8" i="27"/>
  <c r="EA8" i="27"/>
  <c r="EB8" i="27"/>
  <c r="EC9" i="27"/>
  <c r="EB9" i="27"/>
  <c r="EA9" i="27"/>
  <c r="EC14" i="27"/>
  <c r="EB14" i="27"/>
  <c r="EA14" i="27"/>
  <c r="EA18" i="27"/>
  <c r="EC18" i="27"/>
  <c r="EB18" i="27"/>
  <c r="EB27" i="27"/>
  <c r="EC27" i="27"/>
  <c r="EA27" i="27"/>
  <c r="EC16" i="27"/>
  <c r="EB16" i="27"/>
  <c r="EA16" i="27"/>
  <c r="EC22" i="27"/>
  <c r="EB22" i="27"/>
  <c r="EA22" i="27"/>
  <c r="EC6" i="27"/>
  <c r="EB6" i="27"/>
  <c r="EA6" i="27"/>
  <c r="EA10" i="27"/>
  <c r="EC10" i="27"/>
  <c r="EB10" i="27"/>
  <c r="EB19" i="27"/>
  <c r="EC19" i="27"/>
  <c r="EA19" i="27"/>
  <c r="EC17" i="27"/>
  <c r="EB17" i="27"/>
  <c r="EA17" i="27"/>
  <c r="EB11" i="27"/>
  <c r="EC11" i="27"/>
  <c r="EA11" i="27"/>
  <c r="EA26" i="27"/>
  <c r="EC26" i="27"/>
  <c r="EB26" i="27"/>
  <c r="EA12" i="27"/>
  <c r="EA20" i="27"/>
  <c r="EB12" i="27"/>
  <c r="EB20" i="27"/>
  <c r="EB28" i="27"/>
  <c r="EC28" i="27"/>
  <c r="EA5" i="27"/>
  <c r="EA13" i="27"/>
  <c r="EA21" i="27"/>
  <c r="EA29" i="27"/>
  <c r="DV29" i="27"/>
  <c r="DU29" i="27"/>
  <c r="DT29" i="27"/>
  <c r="DV19" i="27"/>
  <c r="DU19" i="27"/>
  <c r="DT19" i="27"/>
  <c r="DU20" i="27"/>
  <c r="DT20" i="27"/>
  <c r="DV20" i="27"/>
  <c r="DU10" i="27"/>
  <c r="DT10" i="27"/>
  <c r="DV10" i="27"/>
  <c r="DV21" i="27"/>
  <c r="DU21" i="27"/>
  <c r="DT21" i="27"/>
  <c r="DV14" i="27"/>
  <c r="DU14" i="27"/>
  <c r="DT14" i="27"/>
  <c r="DV11" i="27"/>
  <c r="DU11" i="27"/>
  <c r="DT11" i="27"/>
  <c r="DV22" i="27"/>
  <c r="DU22" i="27"/>
  <c r="DT22" i="27"/>
  <c r="DT28" i="27"/>
  <c r="DV28" i="27"/>
  <c r="DU28" i="27"/>
  <c r="DT12" i="27"/>
  <c r="DU12" i="27"/>
  <c r="DV12" i="27"/>
  <c r="DU26" i="27"/>
  <c r="DT26" i="27"/>
  <c r="DV26" i="27"/>
  <c r="DU18" i="27"/>
  <c r="DT18" i="27"/>
  <c r="DV18" i="27"/>
  <c r="DV6" i="27"/>
  <c r="DU6" i="27"/>
  <c r="DT6" i="27"/>
  <c r="DV13" i="27"/>
  <c r="DU13" i="27"/>
  <c r="DT13" i="27"/>
  <c r="DV27" i="27"/>
  <c r="DU27" i="27"/>
  <c r="DT27" i="27"/>
  <c r="DT25" i="27"/>
  <c r="DU9" i="27"/>
  <c r="DU17" i="27"/>
  <c r="DU25" i="27"/>
  <c r="DT17" i="27"/>
  <c r="DV9" i="27"/>
  <c r="DT8" i="27"/>
  <c r="DT16" i="27"/>
  <c r="DT24" i="27"/>
  <c r="DT5" i="27"/>
  <c r="DU8" i="27"/>
  <c r="DU16" i="27"/>
  <c r="DU24" i="27"/>
  <c r="DU5" i="27"/>
  <c r="DO29" i="27"/>
  <c r="DN29" i="27"/>
  <c r="DM29" i="27"/>
  <c r="DO19" i="27"/>
  <c r="DN19" i="27"/>
  <c r="DM19" i="27"/>
  <c r="DO24" i="27"/>
  <c r="DN24" i="27"/>
  <c r="DM24" i="27"/>
  <c r="DN20" i="27"/>
  <c r="DO20" i="27"/>
  <c r="DM20" i="27"/>
  <c r="DO8" i="27"/>
  <c r="DN8" i="27"/>
  <c r="DM8" i="27"/>
  <c r="DN18" i="27"/>
  <c r="DM18" i="27"/>
  <c r="DO18" i="27"/>
  <c r="DO21" i="27"/>
  <c r="DN21" i="27"/>
  <c r="DM21" i="27"/>
  <c r="DO11" i="27"/>
  <c r="DN11" i="27"/>
  <c r="DM11" i="27"/>
  <c r="DN12" i="27"/>
  <c r="DO12" i="27"/>
  <c r="DM12" i="27"/>
  <c r="DN26" i="27"/>
  <c r="DM26" i="27"/>
  <c r="DO26" i="27"/>
  <c r="DN28" i="27"/>
  <c r="DO28" i="27"/>
  <c r="DM28" i="27"/>
  <c r="DN10" i="27"/>
  <c r="DM10" i="27"/>
  <c r="DO10" i="27"/>
  <c r="DO16" i="27"/>
  <c r="DN16" i="27"/>
  <c r="DM16" i="27"/>
  <c r="DO13" i="27"/>
  <c r="DN13" i="27"/>
  <c r="DM13" i="27"/>
  <c r="DO27" i="27"/>
  <c r="DN27" i="27"/>
  <c r="DM27" i="27"/>
  <c r="DN7" i="27"/>
  <c r="DN15" i="27"/>
  <c r="DN23" i="27"/>
  <c r="DN17" i="27"/>
  <c r="DM22" i="27"/>
  <c r="DN25" i="27"/>
  <c r="DM6" i="27"/>
  <c r="DM14" i="27"/>
  <c r="DN6" i="27"/>
  <c r="DO9" i="27"/>
  <c r="DN14" i="27"/>
  <c r="DN22" i="27"/>
  <c r="DM5" i="27"/>
  <c r="DH13" i="27"/>
  <c r="DG13" i="27"/>
  <c r="DF13" i="27"/>
  <c r="DH19" i="27"/>
  <c r="DG19" i="27"/>
  <c r="DF19" i="27"/>
  <c r="DH14" i="27"/>
  <c r="DG14" i="27"/>
  <c r="DF14" i="27"/>
  <c r="DG10" i="27"/>
  <c r="DF10" i="27"/>
  <c r="DH10" i="27"/>
  <c r="DF15" i="27"/>
  <c r="DG15" i="27"/>
  <c r="DH15" i="27"/>
  <c r="DG26" i="27"/>
  <c r="DF26" i="27"/>
  <c r="DH26" i="27"/>
  <c r="DG6" i="27"/>
  <c r="DH6" i="27"/>
  <c r="DF6" i="27"/>
  <c r="DH27" i="27"/>
  <c r="DG27" i="27"/>
  <c r="DF27" i="27"/>
  <c r="DF7" i="27"/>
  <c r="DG7" i="27"/>
  <c r="DH7" i="27"/>
  <c r="DG18" i="27"/>
  <c r="DF18" i="27"/>
  <c r="DH18" i="27"/>
  <c r="DH11" i="27"/>
  <c r="DG11" i="27"/>
  <c r="DF11" i="27"/>
  <c r="DH21" i="27"/>
  <c r="DG21" i="27"/>
  <c r="DF21" i="27"/>
  <c r="DH22" i="27"/>
  <c r="DG22" i="27"/>
  <c r="DF22" i="27"/>
  <c r="DH29" i="27"/>
  <c r="DG29" i="27"/>
  <c r="DF29" i="27"/>
  <c r="DG9" i="27"/>
  <c r="DG17" i="27"/>
  <c r="DG25" i="27"/>
  <c r="DF17" i="27"/>
  <c r="DH25" i="27"/>
  <c r="DF8" i="27"/>
  <c r="DF16" i="27"/>
  <c r="DF24" i="27"/>
  <c r="DH9" i="27"/>
  <c r="DF5" i="27"/>
  <c r="DG8" i="27"/>
  <c r="DG16" i="27"/>
  <c r="DG24" i="27"/>
  <c r="DA8" i="27"/>
  <c r="CZ8" i="27"/>
  <c r="CY8" i="27"/>
  <c r="CZ29" i="27"/>
  <c r="CY29" i="27"/>
  <c r="DA29" i="27"/>
  <c r="DA24" i="27"/>
  <c r="CZ24" i="27"/>
  <c r="CY24" i="27"/>
  <c r="CZ9" i="27"/>
  <c r="CY9" i="27"/>
  <c r="DA9" i="27"/>
  <c r="CZ21" i="27"/>
  <c r="CY21" i="27"/>
  <c r="DA21" i="27"/>
  <c r="CZ25" i="27"/>
  <c r="CY25" i="27"/>
  <c r="DA25" i="27"/>
  <c r="CY26" i="27"/>
  <c r="DA26" i="27"/>
  <c r="CZ26" i="27"/>
  <c r="DA11" i="27"/>
  <c r="CZ11" i="27"/>
  <c r="CY11" i="27"/>
  <c r="CZ17" i="27"/>
  <c r="CY17" i="27"/>
  <c r="DA17" i="27"/>
  <c r="DA27" i="27"/>
  <c r="CZ27" i="27"/>
  <c r="CY27" i="27"/>
  <c r="DA19" i="27"/>
  <c r="CZ19" i="27"/>
  <c r="CY19" i="27"/>
  <c r="CZ13" i="27"/>
  <c r="CY13" i="27"/>
  <c r="DA13" i="27"/>
  <c r="DA15" i="27"/>
  <c r="CY15" i="27"/>
  <c r="CZ15" i="27"/>
  <c r="DA16" i="27"/>
  <c r="CZ16" i="27"/>
  <c r="CY16" i="27"/>
  <c r="DA7" i="27"/>
  <c r="CY7" i="27"/>
  <c r="CZ7" i="27"/>
  <c r="CY18" i="27"/>
  <c r="CZ18" i="27"/>
  <c r="DA18" i="27"/>
  <c r="CY12" i="27"/>
  <c r="CY20" i="27"/>
  <c r="CY28" i="27"/>
  <c r="CZ12" i="27"/>
  <c r="CZ28" i="27"/>
  <c r="CY6" i="27"/>
  <c r="CY22" i="27"/>
  <c r="CZ6" i="27"/>
  <c r="CZ14" i="27"/>
  <c r="CZ22" i="27"/>
  <c r="CY14" i="27"/>
  <c r="DA20" i="27"/>
  <c r="CJ14" i="29"/>
  <c r="CJ13" i="29"/>
  <c r="CJ15" i="29"/>
  <c r="CO13" i="29"/>
  <c r="CO9" i="29"/>
  <c r="CO17" i="29"/>
  <c r="CO10" i="29"/>
  <c r="CO18" i="29"/>
  <c r="CO14" i="29"/>
  <c r="CO15" i="29"/>
  <c r="CO16" i="29"/>
  <c r="CO12" i="29"/>
  <c r="CO20" i="29"/>
  <c r="BZ11" i="29"/>
  <c r="BZ19" i="29"/>
  <c r="CE11" i="29"/>
  <c r="CE19" i="29"/>
  <c r="CJ16" i="29"/>
  <c r="CJ9" i="29"/>
  <c r="CJ17" i="29"/>
  <c r="CJ10" i="29"/>
  <c r="CJ18" i="29"/>
  <c r="CJ11" i="29"/>
  <c r="CJ19" i="29"/>
  <c r="CJ12" i="29"/>
  <c r="CJ20" i="29"/>
  <c r="CE13" i="29"/>
  <c r="CE15" i="29"/>
  <c r="BZ13" i="29"/>
  <c r="CE14" i="29"/>
  <c r="CE16" i="29"/>
  <c r="CE9" i="29"/>
  <c r="CE17" i="29"/>
  <c r="CE10" i="29"/>
  <c r="CE18" i="29"/>
  <c r="CE12" i="29"/>
  <c r="CE20" i="29"/>
  <c r="BU11" i="29"/>
  <c r="BU19" i="29"/>
  <c r="BZ14" i="29"/>
  <c r="BZ15" i="29"/>
  <c r="BU18" i="29"/>
  <c r="BU20" i="29"/>
  <c r="BU13" i="29"/>
  <c r="BZ16" i="29"/>
  <c r="BU10" i="29"/>
  <c r="BU14" i="29"/>
  <c r="BZ17" i="29"/>
  <c r="BU12" i="29"/>
  <c r="BU15" i="29"/>
  <c r="BZ10" i="29"/>
  <c r="BZ18" i="29"/>
  <c r="BU16" i="29"/>
  <c r="BU9" i="29"/>
  <c r="BU17" i="29"/>
  <c r="BZ12" i="29"/>
  <c r="BZ20" i="29"/>
  <c r="CN21" i="29"/>
  <c r="CI21" i="29"/>
  <c r="BY23" i="29"/>
  <c r="BY9" i="29"/>
  <c r="BY21" i="29" s="1"/>
  <c r="CN23" i="29"/>
  <c r="CI23" i="29"/>
  <c r="CD21" i="29"/>
  <c r="CD23" i="29"/>
  <c r="BT21" i="29"/>
  <c r="BT23" i="29"/>
  <c r="C7" i="38"/>
  <c r="CN22" i="29" l="1"/>
  <c r="CI22" i="29"/>
  <c r="BY22" i="29"/>
  <c r="CD22" i="29"/>
  <c r="BT22" i="29"/>
  <c r="D12" i="20"/>
  <c r="C43" i="38" l="1"/>
  <c r="C42" i="38"/>
  <c r="C41" i="38"/>
  <c r="C40" i="38"/>
  <c r="C39" i="38"/>
  <c r="C38" i="38"/>
  <c r="C37" i="38"/>
  <c r="C36" i="38"/>
  <c r="C35" i="38"/>
  <c r="C34" i="38"/>
  <c r="C33" i="38"/>
  <c r="C32" i="38"/>
  <c r="C31" i="38"/>
  <c r="C30" i="38"/>
  <c r="C29" i="38"/>
  <c r="C28" i="38"/>
  <c r="C27" i="38"/>
  <c r="C26" i="38"/>
  <c r="C25" i="38"/>
  <c r="C24" i="38"/>
  <c r="C23" i="38"/>
  <c r="C22" i="38"/>
  <c r="C21" i="38"/>
  <c r="C20" i="38"/>
  <c r="C19" i="38"/>
  <c r="C18" i="38"/>
  <c r="C17" i="38"/>
  <c r="C16" i="38"/>
  <c r="C15" i="38"/>
  <c r="C14" i="38"/>
  <c r="C13" i="38"/>
  <c r="C12" i="38"/>
  <c r="C11" i="38"/>
  <c r="C10" i="38"/>
  <c r="C9" i="38"/>
  <c r="Z20" i="29" l="1"/>
  <c r="Z19" i="29"/>
  <c r="Z18" i="29"/>
  <c r="Z17" i="29"/>
  <c r="Z16" i="29"/>
  <c r="Z15" i="29"/>
  <c r="Z14" i="29"/>
  <c r="Z13" i="29"/>
  <c r="Z12" i="29"/>
  <c r="Z11" i="29"/>
  <c r="Z9" i="29"/>
  <c r="P20" i="29"/>
  <c r="P19" i="29"/>
  <c r="P18" i="29"/>
  <c r="K9" i="29"/>
  <c r="C50" i="38"/>
  <c r="C49" i="38"/>
  <c r="C48" i="38"/>
  <c r="C47" i="38"/>
  <c r="C46" i="38"/>
  <c r="C45" i="38"/>
  <c r="C44" i="38"/>
  <c r="C66" i="38" l="1"/>
  <c r="C65" i="38"/>
  <c r="C64" i="38"/>
  <c r="C63" i="38"/>
  <c r="C62" i="38"/>
  <c r="C61" i="38"/>
  <c r="C60" i="38"/>
  <c r="C59" i="38"/>
  <c r="C58" i="38"/>
  <c r="C57" i="38"/>
  <c r="C56" i="38"/>
  <c r="C55" i="38"/>
  <c r="C54" i="38"/>
  <c r="C53" i="38"/>
  <c r="C52" i="38"/>
  <c r="C51" i="38"/>
  <c r="AO9" i="29"/>
  <c r="AQ9" i="29" s="1"/>
  <c r="Z10" i="29" l="1"/>
  <c r="U20" i="29" l="1"/>
  <c r="U19" i="29"/>
  <c r="U18" i="29"/>
  <c r="U17" i="29"/>
  <c r="U16" i="29"/>
  <c r="AT20" i="29"/>
  <c r="AV20" i="29" s="1"/>
  <c r="AT19" i="29"/>
  <c r="AV19" i="29" s="1"/>
  <c r="AT18" i="29"/>
  <c r="AV18" i="29" s="1"/>
  <c r="AT17" i="29"/>
  <c r="AV17" i="29" s="1"/>
  <c r="AT16" i="29"/>
  <c r="AV16" i="29" s="1"/>
  <c r="AT15" i="29"/>
  <c r="AV15" i="29" s="1"/>
  <c r="AT14" i="29"/>
  <c r="AV14" i="29" s="1"/>
  <c r="F9" i="29"/>
  <c r="W20" i="29" l="1"/>
  <c r="W19" i="29"/>
  <c r="W18" i="29"/>
  <c r="W17" i="29"/>
  <c r="W16" i="29"/>
  <c r="H9" i="29"/>
  <c r="AB17" i="29" l="1"/>
  <c r="AB16" i="29"/>
  <c r="AJ20" i="29" l="1"/>
  <c r="AL20" i="29" s="1"/>
  <c r="AJ19" i="29"/>
  <c r="AL19" i="29" s="1"/>
  <c r="AJ18" i="29"/>
  <c r="AL18" i="29" s="1"/>
  <c r="AJ9" i="29"/>
  <c r="AL9" i="29" s="1"/>
  <c r="AG20" i="29"/>
  <c r="AG19" i="29"/>
  <c r="AG18" i="29"/>
  <c r="AG9" i="29"/>
  <c r="K20" i="29" l="1"/>
  <c r="M20" i="29" s="1"/>
  <c r="AO20" i="29" l="1"/>
  <c r="AQ20" i="29" s="1"/>
  <c r="AO19" i="29"/>
  <c r="AQ19" i="29" s="1"/>
  <c r="AO18" i="29"/>
  <c r="AQ18" i="29" s="1"/>
  <c r="AO17" i="29"/>
  <c r="AQ17" i="29" s="1"/>
  <c r="AB20" i="29"/>
  <c r="AB19" i="29"/>
  <c r="AB18" i="29"/>
  <c r="BN9" i="29" l="1"/>
  <c r="BI9" i="29"/>
  <c r="BK9" i="29" s="1"/>
  <c r="BD9" i="29"/>
  <c r="BF9" i="29" s="1"/>
  <c r="BA9" i="29"/>
  <c r="AT9" i="29"/>
  <c r="AV9" i="29" s="1"/>
  <c r="AB9" i="29"/>
  <c r="U9" i="29"/>
  <c r="W9" i="29" s="1"/>
  <c r="P9" i="29"/>
  <c r="R9" i="29" s="1"/>
  <c r="M9" i="29"/>
  <c r="AJ17" i="29"/>
  <c r="AL17" i="29" s="1"/>
  <c r="AJ16" i="29"/>
  <c r="AL16" i="29" s="1"/>
  <c r="AJ15" i="29"/>
  <c r="AL15" i="29" s="1"/>
  <c r="AJ14" i="29"/>
  <c r="AL14" i="29" s="1"/>
  <c r="AJ13" i="29"/>
  <c r="AL13" i="29" s="1"/>
  <c r="AJ12" i="29"/>
  <c r="AL12" i="29" s="1"/>
  <c r="AJ11" i="29"/>
  <c r="AL11" i="29" s="1"/>
  <c r="AJ10" i="29"/>
  <c r="AL10" i="29" s="1"/>
  <c r="V20" i="29"/>
  <c r="V19" i="29"/>
  <c r="V18" i="29"/>
  <c r="V17" i="29"/>
  <c r="V16" i="29"/>
  <c r="U15" i="29"/>
  <c r="U14" i="29"/>
  <c r="U13" i="29"/>
  <c r="W13" i="29" s="1"/>
  <c r="U12" i="29"/>
  <c r="H20" i="29"/>
  <c r="H19" i="29"/>
  <c r="H18" i="29"/>
  <c r="H17" i="29"/>
  <c r="H16" i="29"/>
  <c r="AG17" i="29"/>
  <c r="AG16" i="29"/>
  <c r="AG15" i="29"/>
  <c r="AG14" i="29"/>
  <c r="P17" i="29"/>
  <c r="P16" i="29"/>
  <c r="P15" i="29"/>
  <c r="P14" i="29"/>
  <c r="P13" i="29"/>
  <c r="P12" i="29"/>
  <c r="P11" i="29"/>
  <c r="U11" i="29"/>
  <c r="U10" i="29"/>
  <c r="AA20" i="29"/>
  <c r="AA19" i="29"/>
  <c r="AA18" i="29"/>
  <c r="AA17" i="29"/>
  <c r="AA16" i="29"/>
  <c r="D11" i="20"/>
  <c r="AG13" i="29"/>
  <c r="AG12" i="29"/>
  <c r="AG11" i="29"/>
  <c r="AG10" i="29"/>
  <c r="K19" i="29"/>
  <c r="M19" i="29" s="1"/>
  <c r="K18" i="29"/>
  <c r="M18" i="29" s="1"/>
  <c r="K17" i="29"/>
  <c r="M17" i="29" s="1"/>
  <c r="K16" i="29"/>
  <c r="M16" i="29" s="1"/>
  <c r="BP9" i="29" l="1"/>
  <c r="BO9" i="29"/>
  <c r="V13" i="29"/>
  <c r="AK22" i="29"/>
  <c r="AF22" i="29"/>
  <c r="V14" i="29"/>
  <c r="W14" i="29"/>
  <c r="AA11" i="29"/>
  <c r="AB11" i="29"/>
  <c r="AA10" i="29"/>
  <c r="AB10" i="29"/>
  <c r="V15" i="29"/>
  <c r="W15" i="29"/>
  <c r="AA12" i="29"/>
  <c r="AB12" i="29"/>
  <c r="AA14" i="29"/>
  <c r="AB14" i="29"/>
  <c r="V12" i="29"/>
  <c r="W12" i="29"/>
  <c r="AA13" i="29"/>
  <c r="AB13" i="29"/>
  <c r="V10" i="29"/>
  <c r="W10" i="29"/>
  <c r="AA15" i="29"/>
  <c r="AB15" i="29"/>
  <c r="V11" i="29"/>
  <c r="W11" i="29"/>
  <c r="Q10" i="29"/>
  <c r="R10" i="29"/>
  <c r="Q19" i="29"/>
  <c r="R19" i="29"/>
  <c r="Q13" i="29"/>
  <c r="R13" i="29"/>
  <c r="Q18" i="29"/>
  <c r="R18" i="29"/>
  <c r="Q12" i="29"/>
  <c r="R12" i="29"/>
  <c r="Q14" i="29"/>
  <c r="R14" i="29"/>
  <c r="Q15" i="29"/>
  <c r="R15" i="29"/>
  <c r="Q16" i="29"/>
  <c r="R16" i="29"/>
  <c r="Q11" i="29"/>
  <c r="R11" i="29"/>
  <c r="Q20" i="29"/>
  <c r="R20" i="29"/>
  <c r="Q17" i="29"/>
  <c r="R17" i="29"/>
  <c r="Q23" i="29"/>
  <c r="Q9" i="29"/>
  <c r="V23" i="29"/>
  <c r="V9" i="29"/>
  <c r="AA23" i="29"/>
  <c r="AA9" i="29"/>
  <c r="F15" i="29"/>
  <c r="H15" i="29" s="1"/>
  <c r="F14" i="29"/>
  <c r="H14" i="29" s="1"/>
  <c r="F13" i="29"/>
  <c r="H13" i="29" s="1"/>
  <c r="F12" i="29"/>
  <c r="H12" i="29" s="1"/>
  <c r="F11" i="29"/>
  <c r="H11" i="29" s="1"/>
  <c r="F10" i="29"/>
  <c r="H10" i="29" s="1"/>
  <c r="AA22" i="29" l="1"/>
  <c r="Q22" i="29"/>
  <c r="V22" i="29"/>
  <c r="AA21" i="29"/>
  <c r="V21" i="29"/>
  <c r="G22" i="29"/>
  <c r="Q21" i="29"/>
  <c r="BN20" i="29"/>
  <c r="BN19" i="29"/>
  <c r="BN18" i="29"/>
  <c r="BN17" i="29"/>
  <c r="BN16" i="29"/>
  <c r="BN15" i="29"/>
  <c r="BN14" i="29"/>
  <c r="BN13" i="29"/>
  <c r="BN12" i="29"/>
  <c r="BN11" i="29"/>
  <c r="BN10" i="29"/>
  <c r="BI20" i="29"/>
  <c r="BK20" i="29" s="1"/>
  <c r="BI19" i="29"/>
  <c r="BI18" i="29"/>
  <c r="BI17" i="29"/>
  <c r="BI16" i="29"/>
  <c r="BI15" i="29"/>
  <c r="BI14" i="29"/>
  <c r="BI13" i="29"/>
  <c r="BI12" i="29"/>
  <c r="BI11" i="29"/>
  <c r="BK11" i="29" s="1"/>
  <c r="BI10" i="29"/>
  <c r="BD20" i="29"/>
  <c r="BD19" i="29"/>
  <c r="BD18" i="29"/>
  <c r="BF18" i="29" s="1"/>
  <c r="BD17" i="29"/>
  <c r="BF17" i="29" s="1"/>
  <c r="BD16" i="29"/>
  <c r="BD15" i="29"/>
  <c r="BD14" i="29"/>
  <c r="BF14" i="29" s="1"/>
  <c r="BD13" i="29"/>
  <c r="BF13" i="29" s="1"/>
  <c r="BD12" i="29"/>
  <c r="BD11" i="29"/>
  <c r="BD10" i="29"/>
  <c r="BA18" i="29"/>
  <c r="BA13" i="29"/>
  <c r="AT13" i="29"/>
  <c r="AV13" i="29" s="1"/>
  <c r="AT12" i="29"/>
  <c r="AV12" i="29" s="1"/>
  <c r="AT11" i="29"/>
  <c r="AT10" i="29"/>
  <c r="AV10" i="29" s="1"/>
  <c r="AO16" i="29"/>
  <c r="AQ16" i="29" s="1"/>
  <c r="AO15" i="29"/>
  <c r="AQ15" i="29" s="1"/>
  <c r="AO14" i="29"/>
  <c r="AQ14" i="29" s="1"/>
  <c r="AO13" i="29"/>
  <c r="AQ13" i="29" s="1"/>
  <c r="AO12" i="29"/>
  <c r="AQ12" i="29" s="1"/>
  <c r="AO11" i="29"/>
  <c r="AQ11" i="29" s="1"/>
  <c r="AO10" i="29"/>
  <c r="AQ10" i="29" s="1"/>
  <c r="K15" i="29"/>
  <c r="K14" i="29"/>
  <c r="K13" i="29"/>
  <c r="K12" i="29"/>
  <c r="K11" i="29"/>
  <c r="K10" i="29"/>
  <c r="F98" i="20"/>
  <c r="CP29" i="27"/>
  <c r="CQ29" i="27" s="1"/>
  <c r="CP28" i="27"/>
  <c r="CQ28" i="27" s="1"/>
  <c r="CP27" i="27"/>
  <c r="CQ27" i="27" s="1"/>
  <c r="CP26" i="27"/>
  <c r="CQ26" i="27" s="1"/>
  <c r="CP25" i="27"/>
  <c r="CQ25" i="27" s="1"/>
  <c r="CP24" i="27"/>
  <c r="CQ24" i="27" s="1"/>
  <c r="CP23" i="27"/>
  <c r="CQ23" i="27" s="1"/>
  <c r="CP22" i="27"/>
  <c r="CQ22" i="27" s="1"/>
  <c r="CP21" i="27"/>
  <c r="CQ21" i="27" s="1"/>
  <c r="CP20" i="27"/>
  <c r="CQ20" i="27" s="1"/>
  <c r="CP19" i="27"/>
  <c r="CQ19" i="27" s="1"/>
  <c r="CP18" i="27"/>
  <c r="CQ18" i="27" s="1"/>
  <c r="CP17" i="27"/>
  <c r="CQ17" i="27" s="1"/>
  <c r="CP16" i="27"/>
  <c r="CQ16" i="27" s="1"/>
  <c r="CP15" i="27"/>
  <c r="CQ15" i="27" s="1"/>
  <c r="CP14" i="27"/>
  <c r="CQ14" i="27" s="1"/>
  <c r="CP13" i="27"/>
  <c r="CQ13" i="27" s="1"/>
  <c r="CP12" i="27"/>
  <c r="CQ12" i="27" s="1"/>
  <c r="CP11" i="27"/>
  <c r="CQ11" i="27" s="1"/>
  <c r="CP10" i="27"/>
  <c r="CQ10" i="27" s="1"/>
  <c r="CP9" i="27"/>
  <c r="CQ9" i="27" s="1"/>
  <c r="CP8" i="27"/>
  <c r="CQ8" i="27" s="1"/>
  <c r="CP7" i="27"/>
  <c r="CQ7" i="27" s="1"/>
  <c r="CP6" i="27"/>
  <c r="CQ6" i="27" s="1"/>
  <c r="CQ5" i="27"/>
  <c r="CI29" i="27"/>
  <c r="CJ29" i="27" s="1"/>
  <c r="CI28" i="27"/>
  <c r="CJ28" i="27" s="1"/>
  <c r="CI27" i="27"/>
  <c r="CJ27" i="27" s="1"/>
  <c r="CI26" i="27"/>
  <c r="CJ26" i="27" s="1"/>
  <c r="CI25" i="27"/>
  <c r="CJ25" i="27" s="1"/>
  <c r="CI24" i="27"/>
  <c r="CJ24" i="27" s="1"/>
  <c r="CI23" i="27"/>
  <c r="CJ23" i="27" s="1"/>
  <c r="CI22" i="27"/>
  <c r="CJ22" i="27" s="1"/>
  <c r="CI21" i="27"/>
  <c r="CJ21" i="27" s="1"/>
  <c r="CI20" i="27"/>
  <c r="CJ20" i="27" s="1"/>
  <c r="CI19" i="27"/>
  <c r="CJ19" i="27" s="1"/>
  <c r="CI18" i="27"/>
  <c r="CJ18" i="27" s="1"/>
  <c r="CI17" i="27"/>
  <c r="CJ17" i="27" s="1"/>
  <c r="CI16" i="27"/>
  <c r="CJ16" i="27" s="1"/>
  <c r="CI15" i="27"/>
  <c r="CJ15" i="27" s="1"/>
  <c r="CI14" i="27"/>
  <c r="CJ14" i="27" s="1"/>
  <c r="CI13" i="27"/>
  <c r="CJ13" i="27" s="1"/>
  <c r="CI12" i="27"/>
  <c r="CJ12" i="27" s="1"/>
  <c r="CI11" i="27"/>
  <c r="CJ11" i="27" s="1"/>
  <c r="CI10" i="27"/>
  <c r="CJ10" i="27" s="1"/>
  <c r="CI9" i="27"/>
  <c r="CJ9" i="27" s="1"/>
  <c r="CI8" i="27"/>
  <c r="CJ8" i="27" s="1"/>
  <c r="CI7" i="27"/>
  <c r="CJ7" i="27" s="1"/>
  <c r="CI6" i="27"/>
  <c r="CJ6" i="27" s="1"/>
  <c r="CJ5" i="27"/>
  <c r="CB29" i="27"/>
  <c r="CC29" i="27" s="1"/>
  <c r="CB28" i="27"/>
  <c r="CC28" i="27" s="1"/>
  <c r="CB27" i="27"/>
  <c r="CC27" i="27" s="1"/>
  <c r="CB26" i="27"/>
  <c r="CC26" i="27" s="1"/>
  <c r="CB25" i="27"/>
  <c r="CC25" i="27" s="1"/>
  <c r="CB24" i="27"/>
  <c r="CC24" i="27" s="1"/>
  <c r="CB23" i="27"/>
  <c r="CC23" i="27" s="1"/>
  <c r="CB22" i="27"/>
  <c r="CC22" i="27" s="1"/>
  <c r="CB21" i="27"/>
  <c r="CC21" i="27" s="1"/>
  <c r="CB20" i="27"/>
  <c r="CC20" i="27" s="1"/>
  <c r="CB19" i="27"/>
  <c r="CC19" i="27" s="1"/>
  <c r="CB18" i="27"/>
  <c r="CC18" i="27" s="1"/>
  <c r="CB17" i="27"/>
  <c r="CC17" i="27" s="1"/>
  <c r="CB16" i="27"/>
  <c r="CC16" i="27" s="1"/>
  <c r="CB15" i="27"/>
  <c r="CC15" i="27" s="1"/>
  <c r="CB14" i="27"/>
  <c r="CC14" i="27" s="1"/>
  <c r="CB13" i="27"/>
  <c r="CC13" i="27" s="1"/>
  <c r="CB12" i="27"/>
  <c r="CC12" i="27" s="1"/>
  <c r="CB11" i="27"/>
  <c r="CC11" i="27" s="1"/>
  <c r="CB10" i="27"/>
  <c r="CC10" i="27" s="1"/>
  <c r="CB9" i="27"/>
  <c r="CC9" i="27" s="1"/>
  <c r="CB8" i="27"/>
  <c r="CC8" i="27" s="1"/>
  <c r="CB7" i="27"/>
  <c r="CC7" i="27" s="1"/>
  <c r="CB6" i="27"/>
  <c r="CC6" i="27" s="1"/>
  <c r="CD6" i="27" s="1"/>
  <c r="CC5" i="27"/>
  <c r="BU29" i="27"/>
  <c r="BV29" i="27" s="1"/>
  <c r="BU28" i="27"/>
  <c r="BV28" i="27" s="1"/>
  <c r="BU27" i="27"/>
  <c r="BV27" i="27" s="1"/>
  <c r="BU26" i="27"/>
  <c r="BV26" i="27" s="1"/>
  <c r="BU25" i="27"/>
  <c r="BV25" i="27" s="1"/>
  <c r="BU24" i="27"/>
  <c r="BV24" i="27" s="1"/>
  <c r="BU23" i="27"/>
  <c r="BV23" i="27" s="1"/>
  <c r="BU22" i="27"/>
  <c r="BV22" i="27" s="1"/>
  <c r="BU21" i="27"/>
  <c r="BV21" i="27" s="1"/>
  <c r="BU20" i="27"/>
  <c r="BV20" i="27" s="1"/>
  <c r="BU19" i="27"/>
  <c r="BV19" i="27" s="1"/>
  <c r="BU18" i="27"/>
  <c r="BV18" i="27" s="1"/>
  <c r="BU17" i="27"/>
  <c r="BV17" i="27" s="1"/>
  <c r="BU16" i="27"/>
  <c r="BV16" i="27" s="1"/>
  <c r="BU15" i="27"/>
  <c r="BV15" i="27" s="1"/>
  <c r="BU14" i="27"/>
  <c r="BV14" i="27" s="1"/>
  <c r="BU13" i="27"/>
  <c r="BV13" i="27" s="1"/>
  <c r="BU12" i="27"/>
  <c r="BV12" i="27" s="1"/>
  <c r="BU11" i="27"/>
  <c r="BV11" i="27" s="1"/>
  <c r="BU10" i="27"/>
  <c r="BV10" i="27" s="1"/>
  <c r="BU9" i="27"/>
  <c r="BV9" i="27" s="1"/>
  <c r="BU8" i="27"/>
  <c r="BV8" i="27" s="1"/>
  <c r="BU7" i="27"/>
  <c r="BV7" i="27" s="1"/>
  <c r="BU6" i="27"/>
  <c r="BV6" i="27" s="1"/>
  <c r="BV5" i="27"/>
  <c r="BN29" i="27"/>
  <c r="BO29" i="27" s="1"/>
  <c r="BN28" i="27"/>
  <c r="BO28" i="27" s="1"/>
  <c r="BN27" i="27"/>
  <c r="BO27" i="27" s="1"/>
  <c r="BN26" i="27"/>
  <c r="BO26" i="27" s="1"/>
  <c r="BN25" i="27"/>
  <c r="BO25" i="27" s="1"/>
  <c r="BN24" i="27"/>
  <c r="BO24" i="27" s="1"/>
  <c r="BN23" i="27"/>
  <c r="BO23" i="27" s="1"/>
  <c r="BN22" i="27"/>
  <c r="BO22" i="27" s="1"/>
  <c r="BN21" i="27"/>
  <c r="BO21" i="27" s="1"/>
  <c r="BN20" i="27"/>
  <c r="BO20" i="27" s="1"/>
  <c r="BN19" i="27"/>
  <c r="BO19" i="27" s="1"/>
  <c r="BN18" i="27"/>
  <c r="BO18" i="27" s="1"/>
  <c r="BN17" i="27"/>
  <c r="BO17" i="27" s="1"/>
  <c r="BN16" i="27"/>
  <c r="BO16" i="27" s="1"/>
  <c r="BN15" i="27"/>
  <c r="BO15" i="27" s="1"/>
  <c r="BN14" i="27"/>
  <c r="BO14" i="27" s="1"/>
  <c r="BN13" i="27"/>
  <c r="BO13" i="27" s="1"/>
  <c r="BN12" i="27"/>
  <c r="BO12" i="27" s="1"/>
  <c r="BN11" i="27"/>
  <c r="BO11" i="27" s="1"/>
  <c r="BN10" i="27"/>
  <c r="BO10" i="27" s="1"/>
  <c r="BN9" i="27"/>
  <c r="BO9" i="27" s="1"/>
  <c r="BN8" i="27"/>
  <c r="BO8" i="27" s="1"/>
  <c r="BN7" i="27"/>
  <c r="BO7" i="27" s="1"/>
  <c r="BN6" i="27"/>
  <c r="BO6" i="27" s="1"/>
  <c r="BO5" i="27"/>
  <c r="BG29" i="27"/>
  <c r="BH29" i="27" s="1"/>
  <c r="BG28" i="27"/>
  <c r="BH28" i="27" s="1"/>
  <c r="BG27" i="27"/>
  <c r="BH27" i="27" s="1"/>
  <c r="BG26" i="27"/>
  <c r="BH26" i="27" s="1"/>
  <c r="BG25" i="27"/>
  <c r="BH25" i="27" s="1"/>
  <c r="BG24" i="27"/>
  <c r="BH24" i="27" s="1"/>
  <c r="BG23" i="27"/>
  <c r="BH23" i="27" s="1"/>
  <c r="BG22" i="27"/>
  <c r="BH22" i="27" s="1"/>
  <c r="BG21" i="27"/>
  <c r="BH21" i="27" s="1"/>
  <c r="BG20" i="27"/>
  <c r="BH20" i="27" s="1"/>
  <c r="BG19" i="27"/>
  <c r="BH19" i="27" s="1"/>
  <c r="BG18" i="27"/>
  <c r="BH18" i="27" s="1"/>
  <c r="BG17" i="27"/>
  <c r="BH17" i="27" s="1"/>
  <c r="BG16" i="27"/>
  <c r="BH16" i="27" s="1"/>
  <c r="BG15" i="27"/>
  <c r="BH15" i="27" s="1"/>
  <c r="BG14" i="27"/>
  <c r="BH14" i="27" s="1"/>
  <c r="BG13" i="27"/>
  <c r="BH13" i="27" s="1"/>
  <c r="BG12" i="27"/>
  <c r="BH12" i="27" s="1"/>
  <c r="BG11" i="27"/>
  <c r="BH11" i="27" s="1"/>
  <c r="BG10" i="27"/>
  <c r="BH10" i="27" s="1"/>
  <c r="BG9" i="27"/>
  <c r="BH9" i="27" s="1"/>
  <c r="BG8" i="27"/>
  <c r="BH8" i="27" s="1"/>
  <c r="BG7" i="27"/>
  <c r="BH7" i="27" s="1"/>
  <c r="BG6" i="27"/>
  <c r="BH6" i="27" s="1"/>
  <c r="BH5" i="27"/>
  <c r="AZ29" i="27"/>
  <c r="BA29" i="27" s="1"/>
  <c r="AZ28" i="27"/>
  <c r="BA28" i="27" s="1"/>
  <c r="AZ27" i="27"/>
  <c r="BA27" i="27" s="1"/>
  <c r="AZ26" i="27"/>
  <c r="BA26" i="27" s="1"/>
  <c r="AZ25" i="27"/>
  <c r="BA25" i="27" s="1"/>
  <c r="AZ24" i="27"/>
  <c r="BA24" i="27" s="1"/>
  <c r="AZ23" i="27"/>
  <c r="BA23" i="27" s="1"/>
  <c r="AZ22" i="27"/>
  <c r="BA22" i="27" s="1"/>
  <c r="AZ21" i="27"/>
  <c r="BA21" i="27" s="1"/>
  <c r="AZ20" i="27"/>
  <c r="BA20" i="27" s="1"/>
  <c r="AZ19" i="27"/>
  <c r="BA19" i="27" s="1"/>
  <c r="AZ18" i="27"/>
  <c r="BA18" i="27" s="1"/>
  <c r="AZ17" i="27"/>
  <c r="BA17" i="27" s="1"/>
  <c r="AZ16" i="27"/>
  <c r="BA16" i="27" s="1"/>
  <c r="AZ15" i="27"/>
  <c r="BA15" i="27" s="1"/>
  <c r="AZ14" i="27"/>
  <c r="BA14" i="27" s="1"/>
  <c r="AZ13" i="27"/>
  <c r="BA13" i="27" s="1"/>
  <c r="AZ12" i="27"/>
  <c r="BA12" i="27" s="1"/>
  <c r="AZ11" i="27"/>
  <c r="BA11" i="27" s="1"/>
  <c r="AZ10" i="27"/>
  <c r="BA10" i="27" s="1"/>
  <c r="AZ9" i="27"/>
  <c r="BA9" i="27" s="1"/>
  <c r="AZ8" i="27"/>
  <c r="BA8" i="27" s="1"/>
  <c r="AZ7" i="27"/>
  <c r="BA7" i="27" s="1"/>
  <c r="AZ6" i="27"/>
  <c r="BA6" i="27" s="1"/>
  <c r="BB6" i="27" s="1"/>
  <c r="BA5" i="27"/>
  <c r="BJ9" i="29"/>
  <c r="BE13" i="29"/>
  <c r="BE9" i="29"/>
  <c r="AZ18" i="29"/>
  <c r="AZ9" i="29"/>
  <c r="AU20" i="29"/>
  <c r="AU19" i="29"/>
  <c r="AU18" i="29"/>
  <c r="AU17" i="29"/>
  <c r="AU16" i="29"/>
  <c r="AU15" i="29"/>
  <c r="AU14" i="29"/>
  <c r="AU9" i="29"/>
  <c r="AP20" i="29"/>
  <c r="AP19" i="29"/>
  <c r="AP18" i="29"/>
  <c r="AP17" i="29"/>
  <c r="AP9" i="29"/>
  <c r="AK20" i="29"/>
  <c r="AK19" i="29"/>
  <c r="AK18" i="29"/>
  <c r="AK17" i="29"/>
  <c r="AK16" i="29"/>
  <c r="AK15" i="29"/>
  <c r="AK14" i="29"/>
  <c r="AK13" i="29"/>
  <c r="AK12" i="29"/>
  <c r="AK11" i="29"/>
  <c r="AK10" i="29"/>
  <c r="AK9" i="29"/>
  <c r="AF20" i="29"/>
  <c r="AF19" i="29"/>
  <c r="AF18" i="29"/>
  <c r="AF17" i="29"/>
  <c r="AF16" i="29"/>
  <c r="AF15" i="29"/>
  <c r="AF14" i="29"/>
  <c r="AF13" i="29"/>
  <c r="AF12" i="29"/>
  <c r="AF11" i="29"/>
  <c r="AF10" i="29"/>
  <c r="AF9" i="29"/>
  <c r="L20" i="29"/>
  <c r="L19" i="29"/>
  <c r="L18" i="29"/>
  <c r="L17" i="29"/>
  <c r="L16" i="29"/>
  <c r="L9" i="29"/>
  <c r="G20" i="29"/>
  <c r="G19" i="29"/>
  <c r="G18" i="29"/>
  <c r="G17" i="29"/>
  <c r="G16" i="29"/>
  <c r="G15" i="29"/>
  <c r="G14" i="29"/>
  <c r="G13" i="29"/>
  <c r="G12" i="29"/>
  <c r="G11" i="29"/>
  <c r="G10" i="29"/>
  <c r="G9" i="29"/>
  <c r="AS29" i="27"/>
  <c r="AT29" i="27" s="1"/>
  <c r="AS28" i="27"/>
  <c r="AT28" i="27" s="1"/>
  <c r="AS27" i="27"/>
  <c r="AT27" i="27" s="1"/>
  <c r="AS26" i="27"/>
  <c r="AT26" i="27" s="1"/>
  <c r="AS25" i="27"/>
  <c r="AT25" i="27" s="1"/>
  <c r="AS24" i="27"/>
  <c r="AT24" i="27" s="1"/>
  <c r="AS23" i="27"/>
  <c r="AT23" i="27" s="1"/>
  <c r="AS22" i="27"/>
  <c r="AT22" i="27" s="1"/>
  <c r="AS21" i="27"/>
  <c r="AT21" i="27" s="1"/>
  <c r="AS20" i="27"/>
  <c r="AT20" i="27" s="1"/>
  <c r="AS19" i="27"/>
  <c r="AT19" i="27" s="1"/>
  <c r="AS18" i="27"/>
  <c r="AT18" i="27" s="1"/>
  <c r="AS17" i="27"/>
  <c r="AT17" i="27" s="1"/>
  <c r="AS16" i="27"/>
  <c r="AT16" i="27" s="1"/>
  <c r="AS15" i="27"/>
  <c r="AT15" i="27" s="1"/>
  <c r="AS14" i="27"/>
  <c r="AT14" i="27" s="1"/>
  <c r="AS13" i="27"/>
  <c r="AT13" i="27" s="1"/>
  <c r="AS12" i="27"/>
  <c r="AT12" i="27" s="1"/>
  <c r="AS11" i="27"/>
  <c r="AT11" i="27" s="1"/>
  <c r="AS10" i="27"/>
  <c r="AT10" i="27" s="1"/>
  <c r="AS9" i="27"/>
  <c r="AT9" i="27" s="1"/>
  <c r="AS8" i="27"/>
  <c r="AT8" i="27" s="1"/>
  <c r="AS7" i="27"/>
  <c r="AT7" i="27" s="1"/>
  <c r="AS6" i="27"/>
  <c r="AT6" i="27" s="1"/>
  <c r="AT5" i="27"/>
  <c r="BE14" i="29" l="1"/>
  <c r="AU10" i="29"/>
  <c r="BJ20" i="29"/>
  <c r="BE17" i="29"/>
  <c r="BE18" i="29"/>
  <c r="BJ11" i="29"/>
  <c r="BP20" i="29"/>
  <c r="BO20" i="29"/>
  <c r="BP13" i="29"/>
  <c r="BO13" i="29"/>
  <c r="BP12" i="29"/>
  <c r="BO12" i="29"/>
  <c r="BP14" i="29"/>
  <c r="BO14" i="29"/>
  <c r="BP15" i="29"/>
  <c r="BO15" i="29"/>
  <c r="BP16" i="29"/>
  <c r="BO16" i="29"/>
  <c r="BP17" i="29"/>
  <c r="BO17" i="29"/>
  <c r="BP10" i="29"/>
  <c r="BO10" i="29"/>
  <c r="BP18" i="29"/>
  <c r="BO18" i="29"/>
  <c r="BP11" i="29"/>
  <c r="BO11" i="29"/>
  <c r="BP19" i="29"/>
  <c r="BO19" i="29"/>
  <c r="AU13" i="29"/>
  <c r="AZ13" i="29"/>
  <c r="BE10" i="29"/>
  <c r="BF10" i="29"/>
  <c r="BJ15" i="29"/>
  <c r="BK15" i="29"/>
  <c r="AZ14" i="29"/>
  <c r="BA14" i="29"/>
  <c r="BE11" i="29"/>
  <c r="BF11" i="29"/>
  <c r="BE19" i="29"/>
  <c r="BF19" i="29"/>
  <c r="BJ16" i="29"/>
  <c r="BK16" i="29"/>
  <c r="BJ14" i="29"/>
  <c r="BK14" i="29"/>
  <c r="AZ15" i="29"/>
  <c r="BA15" i="29"/>
  <c r="BE12" i="29"/>
  <c r="BF12" i="29"/>
  <c r="BE20" i="29"/>
  <c r="BF20" i="29"/>
  <c r="BJ17" i="29"/>
  <c r="BK17" i="29"/>
  <c r="AZ12" i="29"/>
  <c r="BA12" i="29"/>
  <c r="AZ16" i="29"/>
  <c r="BA16" i="29"/>
  <c r="BJ10" i="29"/>
  <c r="BK10" i="29"/>
  <c r="BJ18" i="29"/>
  <c r="BK18" i="29"/>
  <c r="AZ17" i="29"/>
  <c r="BA17" i="29"/>
  <c r="BJ19" i="29"/>
  <c r="BK19" i="29"/>
  <c r="AZ20" i="29"/>
  <c r="BA20" i="29"/>
  <c r="AZ10" i="29"/>
  <c r="BA10" i="29"/>
  <c r="BE15" i="29"/>
  <c r="BF15" i="29"/>
  <c r="BJ12" i="29"/>
  <c r="BK12" i="29"/>
  <c r="AZ11" i="29"/>
  <c r="BA11" i="29"/>
  <c r="AZ19" i="29"/>
  <c r="BA19" i="29"/>
  <c r="BE16" i="29"/>
  <c r="BF16" i="29"/>
  <c r="BJ13" i="29"/>
  <c r="BK13" i="29"/>
  <c r="AU12" i="29"/>
  <c r="AU11" i="29"/>
  <c r="AV11" i="29"/>
  <c r="AU22" i="29" s="1"/>
  <c r="AP15" i="29"/>
  <c r="AP16" i="29"/>
  <c r="AP10" i="29"/>
  <c r="AP11" i="29"/>
  <c r="AP12" i="29"/>
  <c r="AP13" i="29"/>
  <c r="AP14" i="29"/>
  <c r="L10" i="29"/>
  <c r="M10" i="29"/>
  <c r="L11" i="29"/>
  <c r="M11" i="29"/>
  <c r="L12" i="29"/>
  <c r="M12" i="29"/>
  <c r="L15" i="29"/>
  <c r="M15" i="29"/>
  <c r="L13" i="29"/>
  <c r="M13" i="29"/>
  <c r="L14" i="29"/>
  <c r="M14" i="29"/>
  <c r="AK21" i="29"/>
  <c r="AF21" i="29"/>
  <c r="G21" i="29"/>
  <c r="CT5" i="27"/>
  <c r="CS5" i="27"/>
  <c r="CR5" i="27"/>
  <c r="CT6" i="27"/>
  <c r="CS6" i="27"/>
  <c r="CR6" i="27"/>
  <c r="CT7" i="27"/>
  <c r="CS7" i="27"/>
  <c r="CR7" i="27"/>
  <c r="CT8" i="27"/>
  <c r="CS8" i="27"/>
  <c r="CR8" i="27"/>
  <c r="CT9" i="27"/>
  <c r="CS9" i="27"/>
  <c r="CR9" i="27"/>
  <c r="CT10" i="27"/>
  <c r="CS10" i="27"/>
  <c r="CR10" i="27"/>
  <c r="CT11" i="27"/>
  <c r="CS11" i="27"/>
  <c r="CR11" i="27"/>
  <c r="CT12" i="27"/>
  <c r="CS12" i="27"/>
  <c r="CR12" i="27"/>
  <c r="CT13" i="27"/>
  <c r="CS13" i="27"/>
  <c r="CR13" i="27"/>
  <c r="CT14" i="27"/>
  <c r="CS14" i="27"/>
  <c r="CR14" i="27"/>
  <c r="CT15" i="27"/>
  <c r="CS15" i="27"/>
  <c r="CR15" i="27"/>
  <c r="CT16" i="27"/>
  <c r="CS16" i="27"/>
  <c r="CR16" i="27"/>
  <c r="CT17" i="27"/>
  <c r="CS17" i="27"/>
  <c r="CR17" i="27"/>
  <c r="CT18" i="27"/>
  <c r="CS18" i="27"/>
  <c r="CR18" i="27"/>
  <c r="CT19" i="27"/>
  <c r="CS19" i="27"/>
  <c r="CR19" i="27"/>
  <c r="CT20" i="27"/>
  <c r="CS20" i="27"/>
  <c r="CR20" i="27"/>
  <c r="CT21" i="27"/>
  <c r="CS21" i="27"/>
  <c r="CR21" i="27"/>
  <c r="CT22" i="27"/>
  <c r="CS22" i="27"/>
  <c r="CR22" i="27"/>
  <c r="CT23" i="27"/>
  <c r="CS23" i="27"/>
  <c r="CR23" i="27"/>
  <c r="CT24" i="27"/>
  <c r="CS24" i="27"/>
  <c r="CR24" i="27"/>
  <c r="CT25" i="27"/>
  <c r="CS25" i="27"/>
  <c r="CR25" i="27"/>
  <c r="CT26" i="27"/>
  <c r="CS26" i="27"/>
  <c r="CR26" i="27"/>
  <c r="CT27" i="27"/>
  <c r="CS27" i="27"/>
  <c r="CR27" i="27"/>
  <c r="CT28" i="27"/>
  <c r="CS28" i="27"/>
  <c r="CR28" i="27"/>
  <c r="CT29" i="27"/>
  <c r="CS29" i="27"/>
  <c r="CR29" i="27"/>
  <c r="CM5" i="27"/>
  <c r="CL5" i="27"/>
  <c r="CK5" i="27"/>
  <c r="CM6" i="27"/>
  <c r="CL6" i="27"/>
  <c r="CK6" i="27"/>
  <c r="CM7" i="27"/>
  <c r="CL7" i="27"/>
  <c r="CK7" i="27"/>
  <c r="CM8" i="27"/>
  <c r="CL8" i="27"/>
  <c r="CK8" i="27"/>
  <c r="CM9" i="27"/>
  <c r="CL9" i="27"/>
  <c r="CK9" i="27"/>
  <c r="CM10" i="27"/>
  <c r="CL10" i="27"/>
  <c r="CK10" i="27"/>
  <c r="CM11" i="27"/>
  <c r="CL11" i="27"/>
  <c r="CK11" i="27"/>
  <c r="CM12" i="27"/>
  <c r="CL12" i="27"/>
  <c r="CK12" i="27"/>
  <c r="CM13" i="27"/>
  <c r="CL13" i="27"/>
  <c r="CK13" i="27"/>
  <c r="CM14" i="27"/>
  <c r="CL14" i="27"/>
  <c r="CK14" i="27"/>
  <c r="CM15" i="27"/>
  <c r="CL15" i="27"/>
  <c r="CK15" i="27"/>
  <c r="CM16" i="27"/>
  <c r="CL16" i="27"/>
  <c r="CK16" i="27"/>
  <c r="CM17" i="27"/>
  <c r="CL17" i="27"/>
  <c r="CK17" i="27"/>
  <c r="CM18" i="27"/>
  <c r="CL18" i="27"/>
  <c r="CK18" i="27"/>
  <c r="CM19" i="27"/>
  <c r="CL19" i="27"/>
  <c r="CK19" i="27"/>
  <c r="CM20" i="27"/>
  <c r="CL20" i="27"/>
  <c r="CK20" i="27"/>
  <c r="CM21" i="27"/>
  <c r="CL21" i="27"/>
  <c r="CK21" i="27"/>
  <c r="CM22" i="27"/>
  <c r="CL22" i="27"/>
  <c r="CK22" i="27"/>
  <c r="CM23" i="27"/>
  <c r="CL23" i="27"/>
  <c r="CK23" i="27"/>
  <c r="CM24" i="27"/>
  <c r="CL24" i="27"/>
  <c r="CK24" i="27"/>
  <c r="CM25" i="27"/>
  <c r="CL25" i="27"/>
  <c r="CK25" i="27"/>
  <c r="CM26" i="27"/>
  <c r="CL26" i="27"/>
  <c r="CK26" i="27"/>
  <c r="CM27" i="27"/>
  <c r="CL27" i="27"/>
  <c r="CK27" i="27"/>
  <c r="CM28" i="27"/>
  <c r="CL28" i="27"/>
  <c r="CK28" i="27"/>
  <c r="CM29" i="27"/>
  <c r="CL29" i="27"/>
  <c r="CK29" i="27"/>
  <c r="CF5" i="27"/>
  <c r="CE5" i="27"/>
  <c r="CD5" i="27"/>
  <c r="CF6" i="27"/>
  <c r="CE6" i="27"/>
  <c r="CF7" i="27"/>
  <c r="CE7" i="27"/>
  <c r="CD7" i="27"/>
  <c r="CF8" i="27"/>
  <c r="CE8" i="27"/>
  <c r="CD8" i="27"/>
  <c r="CF9" i="27"/>
  <c r="CE9" i="27"/>
  <c r="CD9" i="27"/>
  <c r="CF10" i="27"/>
  <c r="CE10" i="27"/>
  <c r="CD10" i="27"/>
  <c r="CF11" i="27"/>
  <c r="CE11" i="27"/>
  <c r="CD11" i="27"/>
  <c r="CF12" i="27"/>
  <c r="CE12" i="27"/>
  <c r="CD12" i="27"/>
  <c r="CF13" i="27"/>
  <c r="CE13" i="27"/>
  <c r="CD13" i="27"/>
  <c r="CF14" i="27"/>
  <c r="CE14" i="27"/>
  <c r="CD14" i="27"/>
  <c r="CF15" i="27"/>
  <c r="CE15" i="27"/>
  <c r="CD15" i="27"/>
  <c r="CF16" i="27"/>
  <c r="CE16" i="27"/>
  <c r="CD16" i="27"/>
  <c r="CF17" i="27"/>
  <c r="CE17" i="27"/>
  <c r="CD17" i="27"/>
  <c r="CF18" i="27"/>
  <c r="CE18" i="27"/>
  <c r="CD18" i="27"/>
  <c r="CF19" i="27"/>
  <c r="CE19" i="27"/>
  <c r="CD19" i="27"/>
  <c r="CF20" i="27"/>
  <c r="CE20" i="27"/>
  <c r="CD20" i="27"/>
  <c r="CF21" i="27"/>
  <c r="CE21" i="27"/>
  <c r="CD21" i="27"/>
  <c r="CF22" i="27"/>
  <c r="CE22" i="27"/>
  <c r="CD22" i="27"/>
  <c r="CF23" i="27"/>
  <c r="CE23" i="27"/>
  <c r="CD23" i="27"/>
  <c r="CF24" i="27"/>
  <c r="CE24" i="27"/>
  <c r="CD24" i="27"/>
  <c r="CF25" i="27"/>
  <c r="CE25" i="27"/>
  <c r="CD25" i="27"/>
  <c r="CF26" i="27"/>
  <c r="CE26" i="27"/>
  <c r="CD26" i="27"/>
  <c r="CF27" i="27"/>
  <c r="CE27" i="27"/>
  <c r="CD27" i="27"/>
  <c r="CF28" i="27"/>
  <c r="CE28" i="27"/>
  <c r="CD28" i="27"/>
  <c r="CF29" i="27"/>
  <c r="CE29" i="27"/>
  <c r="CD29" i="27"/>
  <c r="BY5" i="27"/>
  <c r="BX5" i="27"/>
  <c r="BW5" i="27"/>
  <c r="BY6" i="27"/>
  <c r="BX6" i="27"/>
  <c r="BW6" i="27"/>
  <c r="BY7" i="27"/>
  <c r="BX7" i="27"/>
  <c r="BW7" i="27"/>
  <c r="BY8" i="27"/>
  <c r="BX8" i="27"/>
  <c r="BW8" i="27"/>
  <c r="BY9" i="27"/>
  <c r="BX9" i="27"/>
  <c r="BW9" i="27"/>
  <c r="BY10" i="27"/>
  <c r="BX10" i="27"/>
  <c r="BW10" i="27"/>
  <c r="BY11" i="27"/>
  <c r="BX11" i="27"/>
  <c r="BW11" i="27"/>
  <c r="BY12" i="27"/>
  <c r="BX12" i="27"/>
  <c r="BW12" i="27"/>
  <c r="BY13" i="27"/>
  <c r="BX13" i="27"/>
  <c r="BW13" i="27"/>
  <c r="BY14" i="27"/>
  <c r="BX14" i="27"/>
  <c r="BW14" i="27"/>
  <c r="BY15" i="27"/>
  <c r="BX15" i="27"/>
  <c r="BW15" i="27"/>
  <c r="BY16" i="27"/>
  <c r="BX16" i="27"/>
  <c r="BW16" i="27"/>
  <c r="BY17" i="27"/>
  <c r="BX17" i="27"/>
  <c r="BW17" i="27"/>
  <c r="BY18" i="27"/>
  <c r="BX18" i="27"/>
  <c r="BW18" i="27"/>
  <c r="BY19" i="27"/>
  <c r="BX19" i="27"/>
  <c r="BW19" i="27"/>
  <c r="BY20" i="27"/>
  <c r="BX20" i="27"/>
  <c r="BW20" i="27"/>
  <c r="BY21" i="27"/>
  <c r="BX21" i="27"/>
  <c r="BW21" i="27"/>
  <c r="BY22" i="27"/>
  <c r="BX22" i="27"/>
  <c r="BW22" i="27"/>
  <c r="BY23" i="27"/>
  <c r="BX23" i="27"/>
  <c r="BW23" i="27"/>
  <c r="BY24" i="27"/>
  <c r="BX24" i="27"/>
  <c r="BW24" i="27"/>
  <c r="BY25" i="27"/>
  <c r="BX25" i="27"/>
  <c r="BW25" i="27"/>
  <c r="BY26" i="27"/>
  <c r="BX26" i="27"/>
  <c r="BW26" i="27"/>
  <c r="BY27" i="27"/>
  <c r="BX27" i="27"/>
  <c r="BW27" i="27"/>
  <c r="BY28" i="27"/>
  <c r="BX28" i="27"/>
  <c r="BW28" i="27"/>
  <c r="BY29" i="27"/>
  <c r="BX29" i="27"/>
  <c r="BW29" i="27"/>
  <c r="BR5" i="27"/>
  <c r="BQ5" i="27"/>
  <c r="BP5" i="27"/>
  <c r="BR6" i="27"/>
  <c r="BQ6" i="27"/>
  <c r="BP6" i="27"/>
  <c r="BR7" i="27"/>
  <c r="BQ7" i="27"/>
  <c r="BP7" i="27"/>
  <c r="BR8" i="27"/>
  <c r="BQ8" i="27"/>
  <c r="BP8" i="27"/>
  <c r="BR9" i="27"/>
  <c r="BQ9" i="27"/>
  <c r="BP9" i="27"/>
  <c r="BR10" i="27"/>
  <c r="BQ10" i="27"/>
  <c r="BP10" i="27"/>
  <c r="BR11" i="27"/>
  <c r="BQ11" i="27"/>
  <c r="BP11" i="27"/>
  <c r="BR12" i="27"/>
  <c r="BQ12" i="27"/>
  <c r="BP12" i="27"/>
  <c r="BR13" i="27"/>
  <c r="BQ13" i="27"/>
  <c r="BP13" i="27"/>
  <c r="BR14" i="27"/>
  <c r="BQ14" i="27"/>
  <c r="BP14" i="27"/>
  <c r="BR15" i="27"/>
  <c r="BQ15" i="27"/>
  <c r="BP15" i="27"/>
  <c r="BR16" i="27"/>
  <c r="BQ16" i="27"/>
  <c r="BP16" i="27"/>
  <c r="BR17" i="27"/>
  <c r="BQ17" i="27"/>
  <c r="BP17" i="27"/>
  <c r="BR18" i="27"/>
  <c r="BQ18" i="27"/>
  <c r="BP18" i="27"/>
  <c r="BR19" i="27"/>
  <c r="BQ19" i="27"/>
  <c r="BP19" i="27"/>
  <c r="BR20" i="27"/>
  <c r="BQ20" i="27"/>
  <c r="BP20" i="27"/>
  <c r="BR21" i="27"/>
  <c r="BQ21" i="27"/>
  <c r="BP21" i="27"/>
  <c r="BR22" i="27"/>
  <c r="BQ22" i="27"/>
  <c r="BP22" i="27"/>
  <c r="BR23" i="27"/>
  <c r="BQ23" i="27"/>
  <c r="BP23" i="27"/>
  <c r="BR24" i="27"/>
  <c r="BQ24" i="27"/>
  <c r="BP24" i="27"/>
  <c r="BR25" i="27"/>
  <c r="BQ25" i="27"/>
  <c r="BP25" i="27"/>
  <c r="BR26" i="27"/>
  <c r="BQ26" i="27"/>
  <c r="BP26" i="27"/>
  <c r="BR27" i="27"/>
  <c r="BQ27" i="27"/>
  <c r="BP27" i="27"/>
  <c r="BR28" i="27"/>
  <c r="BQ28" i="27"/>
  <c r="BP28" i="27"/>
  <c r="BR29" i="27"/>
  <c r="BQ29" i="27"/>
  <c r="BP29" i="27"/>
  <c r="BK5" i="27"/>
  <c r="BJ5" i="27"/>
  <c r="BI5" i="27"/>
  <c r="BK6" i="27"/>
  <c r="BJ6" i="27"/>
  <c r="BI6" i="27"/>
  <c r="BK7" i="27"/>
  <c r="BJ7" i="27"/>
  <c r="BI7" i="27"/>
  <c r="BK8" i="27"/>
  <c r="BJ8" i="27"/>
  <c r="BI8" i="27"/>
  <c r="BK9" i="27"/>
  <c r="BJ9" i="27"/>
  <c r="BI9" i="27"/>
  <c r="BK10" i="27"/>
  <c r="BJ10" i="27"/>
  <c r="BI10" i="27"/>
  <c r="BK11" i="27"/>
  <c r="BJ11" i="27"/>
  <c r="BI11" i="27"/>
  <c r="BK12" i="27"/>
  <c r="BJ12" i="27"/>
  <c r="BI12" i="27"/>
  <c r="BK13" i="27"/>
  <c r="BJ13" i="27"/>
  <c r="BI13" i="27"/>
  <c r="BK14" i="27"/>
  <c r="BJ14" i="27"/>
  <c r="BI14" i="27"/>
  <c r="BK15" i="27"/>
  <c r="BJ15" i="27"/>
  <c r="BI15" i="27"/>
  <c r="BK16" i="27"/>
  <c r="BJ16" i="27"/>
  <c r="BI16" i="27"/>
  <c r="BK17" i="27"/>
  <c r="BJ17" i="27"/>
  <c r="BI17" i="27"/>
  <c r="BK18" i="27"/>
  <c r="BJ18" i="27"/>
  <c r="BI18" i="27"/>
  <c r="BK19" i="27"/>
  <c r="BJ19" i="27"/>
  <c r="BI19" i="27"/>
  <c r="BK20" i="27"/>
  <c r="BJ20" i="27"/>
  <c r="BI20" i="27"/>
  <c r="BK21" i="27"/>
  <c r="BJ21" i="27"/>
  <c r="BI21" i="27"/>
  <c r="BK22" i="27"/>
  <c r="BJ22" i="27"/>
  <c r="BI22" i="27"/>
  <c r="BK23" i="27"/>
  <c r="BJ23" i="27"/>
  <c r="BI23" i="27"/>
  <c r="BK24" i="27"/>
  <c r="BJ24" i="27"/>
  <c r="BI24" i="27"/>
  <c r="BK25" i="27"/>
  <c r="BJ25" i="27"/>
  <c r="BI25" i="27"/>
  <c r="BK26" i="27"/>
  <c r="BJ26" i="27"/>
  <c r="BI26" i="27"/>
  <c r="BK27" i="27"/>
  <c r="BJ27" i="27"/>
  <c r="BI27" i="27"/>
  <c r="BK28" i="27"/>
  <c r="BJ28" i="27"/>
  <c r="BI28" i="27"/>
  <c r="BK29" i="27"/>
  <c r="BJ29" i="27"/>
  <c r="BI29" i="27"/>
  <c r="BD5" i="27"/>
  <c r="BC5" i="27"/>
  <c r="BB5" i="27"/>
  <c r="BD6" i="27"/>
  <c r="BC6" i="27"/>
  <c r="BD7" i="27"/>
  <c r="BC7" i="27"/>
  <c r="BB7" i="27"/>
  <c r="BD8" i="27"/>
  <c r="BC8" i="27"/>
  <c r="BB8" i="27"/>
  <c r="BD9" i="27"/>
  <c r="BC9" i="27"/>
  <c r="BB9" i="27"/>
  <c r="BD10" i="27"/>
  <c r="BC10" i="27"/>
  <c r="BB10" i="27"/>
  <c r="BD11" i="27"/>
  <c r="BC11" i="27"/>
  <c r="BB11" i="27"/>
  <c r="BD12" i="27"/>
  <c r="BC12" i="27"/>
  <c r="BB12" i="27"/>
  <c r="BD13" i="27"/>
  <c r="BC13" i="27"/>
  <c r="BB13" i="27"/>
  <c r="BD14" i="27"/>
  <c r="BC14" i="27"/>
  <c r="BB14" i="27"/>
  <c r="BD15" i="27"/>
  <c r="BC15" i="27"/>
  <c r="BB15" i="27"/>
  <c r="BD16" i="27"/>
  <c r="BC16" i="27"/>
  <c r="BB16" i="27"/>
  <c r="BD17" i="27"/>
  <c r="BC17" i="27"/>
  <c r="BB17" i="27"/>
  <c r="BD18" i="27"/>
  <c r="BC18" i="27"/>
  <c r="BB18" i="27"/>
  <c r="BD19" i="27"/>
  <c r="BC19" i="27"/>
  <c r="BB19" i="27"/>
  <c r="BD20" i="27"/>
  <c r="BC20" i="27"/>
  <c r="BB20" i="27"/>
  <c r="BD21" i="27"/>
  <c r="BC21" i="27"/>
  <c r="BB21" i="27"/>
  <c r="BD22" i="27"/>
  <c r="BC22" i="27"/>
  <c r="BB22" i="27"/>
  <c r="BD23" i="27"/>
  <c r="BC23" i="27"/>
  <c r="BB23" i="27"/>
  <c r="BD24" i="27"/>
  <c r="BC24" i="27"/>
  <c r="BB24" i="27"/>
  <c r="BD25" i="27"/>
  <c r="BC25" i="27"/>
  <c r="BB25" i="27"/>
  <c r="BD26" i="27"/>
  <c r="BC26" i="27"/>
  <c r="BB26" i="27"/>
  <c r="BD27" i="27"/>
  <c r="BC27" i="27"/>
  <c r="BB27" i="27"/>
  <c r="BD28" i="27"/>
  <c r="BC28" i="27"/>
  <c r="BB28" i="27"/>
  <c r="BD29" i="27"/>
  <c r="BC29" i="27"/>
  <c r="BB29" i="27"/>
  <c r="AW5" i="27"/>
  <c r="AV5" i="27"/>
  <c r="AU5" i="27"/>
  <c r="AW6" i="27"/>
  <c r="AV6" i="27"/>
  <c r="AU6" i="27"/>
  <c r="AW7" i="27"/>
  <c r="AV7" i="27"/>
  <c r="AU7" i="27"/>
  <c r="AW8" i="27"/>
  <c r="AV8" i="27"/>
  <c r="AU8" i="27"/>
  <c r="AW9" i="27"/>
  <c r="AV9" i="27"/>
  <c r="AU9" i="27"/>
  <c r="AW10" i="27"/>
  <c r="AV10" i="27"/>
  <c r="AU10" i="27"/>
  <c r="AW11" i="27"/>
  <c r="AV11" i="27"/>
  <c r="AU11" i="27"/>
  <c r="AW12" i="27"/>
  <c r="AV12" i="27"/>
  <c r="AU12" i="27"/>
  <c r="AW13" i="27"/>
  <c r="AV13" i="27"/>
  <c r="AU13" i="27"/>
  <c r="AW14" i="27"/>
  <c r="AV14" i="27"/>
  <c r="AU14" i="27"/>
  <c r="AW15" i="27"/>
  <c r="AV15" i="27"/>
  <c r="AU15" i="27"/>
  <c r="AW16" i="27"/>
  <c r="AV16" i="27"/>
  <c r="AU16" i="27"/>
  <c r="AW17" i="27"/>
  <c r="AV17" i="27"/>
  <c r="AU17" i="27"/>
  <c r="AW18" i="27"/>
  <c r="AV18" i="27"/>
  <c r="AU18" i="27"/>
  <c r="AW19" i="27"/>
  <c r="AV19" i="27"/>
  <c r="AU19" i="27"/>
  <c r="AW20" i="27"/>
  <c r="AV20" i="27"/>
  <c r="AU20" i="27"/>
  <c r="AW21" i="27"/>
  <c r="AV21" i="27"/>
  <c r="AU21" i="27"/>
  <c r="AW22" i="27"/>
  <c r="AV22" i="27"/>
  <c r="AU22" i="27"/>
  <c r="AW23" i="27"/>
  <c r="AV23" i="27"/>
  <c r="AU23" i="27"/>
  <c r="AW24" i="27"/>
  <c r="AV24" i="27"/>
  <c r="AU24" i="27"/>
  <c r="AW25" i="27"/>
  <c r="AV25" i="27"/>
  <c r="AU25" i="27"/>
  <c r="AW26" i="27"/>
  <c r="AV26" i="27"/>
  <c r="AU26" i="27"/>
  <c r="AW27" i="27"/>
  <c r="AV27" i="27"/>
  <c r="AU27" i="27"/>
  <c r="AW28" i="27"/>
  <c r="AV28" i="27"/>
  <c r="AU28" i="27"/>
  <c r="AW29" i="27"/>
  <c r="AV29" i="27"/>
  <c r="AU29" i="27"/>
  <c r="D5" i="27"/>
  <c r="K5" i="27"/>
  <c r="R5" i="27"/>
  <c r="Y5" i="27"/>
  <c r="AF5" i="27"/>
  <c r="AM5" i="27"/>
  <c r="BO22" i="29" l="1"/>
  <c r="AU21" i="29"/>
  <c r="BJ21" i="29"/>
  <c r="AZ21" i="29"/>
  <c r="AP21" i="29"/>
  <c r="BE21" i="29"/>
  <c r="AZ22" i="29"/>
  <c r="BO21" i="29"/>
  <c r="BJ22" i="29"/>
  <c r="BE22" i="29"/>
  <c r="AP22" i="29"/>
  <c r="L21" i="29"/>
  <c r="L22" i="29"/>
  <c r="BO23" i="29"/>
  <c r="BJ23" i="29"/>
  <c r="BE23" i="29"/>
  <c r="AZ23" i="29"/>
  <c r="AU23" i="29"/>
  <c r="AP23" i="29"/>
  <c r="AK23" i="29"/>
  <c r="AF23" i="29"/>
  <c r="L23" i="29"/>
  <c r="G23" i="29"/>
  <c r="F69" i="20"/>
  <c r="D5" i="38"/>
  <c r="G5" i="38" s="1"/>
  <c r="G25" i="29" l="1"/>
  <c r="G26" i="29"/>
  <c r="F106" i="20" s="1"/>
  <c r="G27" i="29"/>
  <c r="G28" i="29" s="1"/>
  <c r="F13" i="20" s="1"/>
  <c r="F16" i="20" s="1"/>
  <c r="L7" i="21" l="1"/>
  <c r="L8" i="21"/>
  <c r="L9" i="21"/>
  <c r="L10" i="21"/>
  <c r="L11" i="21"/>
  <c r="L6" i="21"/>
  <c r="M34" i="21"/>
  <c r="C29" i="27"/>
  <c r="D29" i="27" s="1"/>
  <c r="C28" i="27"/>
  <c r="D28" i="27" s="1"/>
  <c r="C27" i="27"/>
  <c r="D27" i="27" s="1"/>
  <c r="C26" i="27"/>
  <c r="D26" i="27" s="1"/>
  <c r="C25" i="27"/>
  <c r="D25" i="27" s="1"/>
  <c r="C24" i="27"/>
  <c r="D24" i="27" s="1"/>
  <c r="C23" i="27"/>
  <c r="D23" i="27" s="1"/>
  <c r="C22" i="27"/>
  <c r="D22" i="27" s="1"/>
  <c r="C21" i="27"/>
  <c r="D21" i="27" s="1"/>
  <c r="C20" i="27"/>
  <c r="D20" i="27" s="1"/>
  <c r="C19" i="27"/>
  <c r="D19" i="27" s="1"/>
  <c r="C18" i="27"/>
  <c r="D18" i="27" s="1"/>
  <c r="C17" i="27"/>
  <c r="D17" i="27" s="1"/>
  <c r="C16" i="27"/>
  <c r="D16" i="27" s="1"/>
  <c r="C15" i="27"/>
  <c r="D15" i="27" s="1"/>
  <c r="C14" i="27"/>
  <c r="D14" i="27" s="1"/>
  <c r="C13" i="27"/>
  <c r="D13" i="27" s="1"/>
  <c r="C12" i="27"/>
  <c r="D12" i="27" s="1"/>
  <c r="C11" i="27"/>
  <c r="D11" i="27" s="1"/>
  <c r="C10" i="27"/>
  <c r="D10" i="27" s="1"/>
  <c r="C9" i="27"/>
  <c r="D9" i="27" s="1"/>
  <c r="C8" i="27"/>
  <c r="D8" i="27" s="1"/>
  <c r="C7" i="27"/>
  <c r="D7" i="27" s="1"/>
  <c r="C6" i="27"/>
  <c r="D6" i="27" s="1"/>
  <c r="J29" i="27"/>
  <c r="K29" i="27" s="1"/>
  <c r="J28" i="27"/>
  <c r="K28" i="27" s="1"/>
  <c r="J27" i="27"/>
  <c r="K27" i="27" s="1"/>
  <c r="J26" i="27"/>
  <c r="K26" i="27" s="1"/>
  <c r="J25" i="27"/>
  <c r="K25" i="27" s="1"/>
  <c r="J24" i="27"/>
  <c r="K24" i="27" s="1"/>
  <c r="J23" i="27"/>
  <c r="K23" i="27" s="1"/>
  <c r="J22" i="27"/>
  <c r="K22" i="27" s="1"/>
  <c r="J21" i="27"/>
  <c r="K21" i="27" s="1"/>
  <c r="J20" i="27"/>
  <c r="K20" i="27" s="1"/>
  <c r="J19" i="27"/>
  <c r="K19" i="27" s="1"/>
  <c r="J18" i="27"/>
  <c r="K18" i="27" s="1"/>
  <c r="J17" i="27"/>
  <c r="K17" i="27" s="1"/>
  <c r="J16" i="27"/>
  <c r="K16" i="27" s="1"/>
  <c r="J15" i="27"/>
  <c r="K15" i="27" s="1"/>
  <c r="J14" i="27"/>
  <c r="K14" i="27" s="1"/>
  <c r="J13" i="27"/>
  <c r="K13" i="27" s="1"/>
  <c r="J12" i="27"/>
  <c r="K12" i="27" s="1"/>
  <c r="J11" i="27"/>
  <c r="K11" i="27" s="1"/>
  <c r="J10" i="27"/>
  <c r="K10" i="27" s="1"/>
  <c r="J9" i="27"/>
  <c r="K9" i="27" s="1"/>
  <c r="J8" i="27"/>
  <c r="K8" i="27" s="1"/>
  <c r="J7" i="27"/>
  <c r="K7" i="27" s="1"/>
  <c r="J6" i="27"/>
  <c r="K6" i="27" s="1"/>
  <c r="O6" i="21" l="1"/>
  <c r="O8" i="21" s="1"/>
  <c r="O10" i="21" s="1"/>
  <c r="J5" i="38"/>
  <c r="I5" i="38"/>
  <c r="D6" i="38" s="1"/>
  <c r="G6" i="38" s="1"/>
  <c r="E5" i="38"/>
  <c r="G5" i="27"/>
  <c r="F5" i="27"/>
  <c r="E5" i="27"/>
  <c r="G6" i="27"/>
  <c r="F6" i="27"/>
  <c r="E6" i="27"/>
  <c r="G7" i="27"/>
  <c r="F7" i="27"/>
  <c r="E7" i="27"/>
  <c r="G8" i="27"/>
  <c r="F8" i="27"/>
  <c r="E8" i="27"/>
  <c r="G9" i="27"/>
  <c r="F9" i="27"/>
  <c r="E9" i="27"/>
  <c r="G10" i="27"/>
  <c r="F10" i="27"/>
  <c r="E10" i="27"/>
  <c r="G11" i="27"/>
  <c r="F11" i="27"/>
  <c r="E11" i="27"/>
  <c r="G12" i="27"/>
  <c r="F12" i="27"/>
  <c r="E12" i="27"/>
  <c r="G13" i="27"/>
  <c r="F13" i="27"/>
  <c r="E13" i="27"/>
  <c r="G14" i="27"/>
  <c r="F14" i="27"/>
  <c r="E14" i="27"/>
  <c r="G15" i="27"/>
  <c r="F15" i="27"/>
  <c r="E15" i="27"/>
  <c r="G16" i="27"/>
  <c r="F16" i="27"/>
  <c r="E16" i="27"/>
  <c r="G17" i="27"/>
  <c r="F17" i="27"/>
  <c r="E17" i="27"/>
  <c r="G18" i="27"/>
  <c r="F18" i="27"/>
  <c r="E18" i="27"/>
  <c r="G19" i="27"/>
  <c r="F19" i="27"/>
  <c r="E19" i="27"/>
  <c r="G20" i="27"/>
  <c r="F20" i="27"/>
  <c r="E20" i="27"/>
  <c r="G21" i="27"/>
  <c r="F21" i="27"/>
  <c r="E21" i="27"/>
  <c r="G22" i="27"/>
  <c r="F22" i="27"/>
  <c r="E22" i="27"/>
  <c r="G23" i="27"/>
  <c r="F23" i="27"/>
  <c r="E23" i="27"/>
  <c r="G24" i="27"/>
  <c r="F24" i="27"/>
  <c r="E24" i="27"/>
  <c r="G25" i="27"/>
  <c r="F25" i="27"/>
  <c r="E25" i="27"/>
  <c r="G26" i="27"/>
  <c r="F26" i="27"/>
  <c r="E26" i="27"/>
  <c r="G27" i="27"/>
  <c r="F27" i="27"/>
  <c r="E27" i="27"/>
  <c r="G28" i="27"/>
  <c r="F28" i="27"/>
  <c r="E28" i="27"/>
  <c r="G29" i="27"/>
  <c r="F29" i="27"/>
  <c r="E29" i="27"/>
  <c r="N5" i="27"/>
  <c r="M5" i="27"/>
  <c r="L5" i="27"/>
  <c r="N6" i="27"/>
  <c r="M6" i="27"/>
  <c r="L6" i="27"/>
  <c r="N7" i="27"/>
  <c r="M7" i="27"/>
  <c r="L7" i="27"/>
  <c r="N8" i="27"/>
  <c r="M8" i="27"/>
  <c r="L8" i="27"/>
  <c r="N9" i="27"/>
  <c r="M9" i="27"/>
  <c r="L9" i="27"/>
  <c r="N10" i="27"/>
  <c r="M10" i="27"/>
  <c r="L10" i="27"/>
  <c r="N11" i="27"/>
  <c r="M11" i="27"/>
  <c r="L11" i="27"/>
  <c r="N12" i="27"/>
  <c r="M12" i="27"/>
  <c r="L12" i="27"/>
  <c r="N13" i="27"/>
  <c r="M13" i="27"/>
  <c r="L13" i="27"/>
  <c r="N14" i="27"/>
  <c r="M14" i="27"/>
  <c r="L14" i="27"/>
  <c r="N15" i="27"/>
  <c r="M15" i="27"/>
  <c r="L15" i="27"/>
  <c r="N16" i="27"/>
  <c r="M16" i="27"/>
  <c r="L16" i="27"/>
  <c r="N17" i="27"/>
  <c r="M17" i="27"/>
  <c r="L17" i="27"/>
  <c r="N18" i="27"/>
  <c r="M18" i="27"/>
  <c r="L18" i="27"/>
  <c r="N19" i="27"/>
  <c r="M19" i="27"/>
  <c r="L19" i="27"/>
  <c r="N20" i="27"/>
  <c r="M20" i="27"/>
  <c r="L20" i="27"/>
  <c r="N21" i="27"/>
  <c r="M21" i="27"/>
  <c r="L21" i="27"/>
  <c r="N22" i="27"/>
  <c r="M22" i="27"/>
  <c r="L22" i="27"/>
  <c r="N23" i="27"/>
  <c r="M23" i="27"/>
  <c r="L23" i="27"/>
  <c r="N24" i="27"/>
  <c r="M24" i="27"/>
  <c r="L24" i="27"/>
  <c r="N25" i="27"/>
  <c r="M25" i="27"/>
  <c r="L25" i="27"/>
  <c r="N26" i="27"/>
  <c r="M26" i="27"/>
  <c r="L26" i="27"/>
  <c r="N27" i="27"/>
  <c r="M27" i="27"/>
  <c r="L27" i="27"/>
  <c r="N28" i="27"/>
  <c r="M28" i="27"/>
  <c r="L28" i="27"/>
  <c r="N29" i="27"/>
  <c r="M29" i="27"/>
  <c r="L29" i="27"/>
  <c r="O14" i="21" l="1"/>
  <c r="O19" i="21"/>
  <c r="O12" i="21"/>
  <c r="O15" i="21" s="1"/>
  <c r="H5" i="38"/>
  <c r="E6" i="38" s="1"/>
  <c r="Q29" i="27"/>
  <c r="R29" i="27" s="1"/>
  <c r="Q28" i="27"/>
  <c r="R28" i="27" s="1"/>
  <c r="Q27" i="27"/>
  <c r="R27" i="27" s="1"/>
  <c r="Q26" i="27"/>
  <c r="R26" i="27" s="1"/>
  <c r="Q25" i="27"/>
  <c r="R25" i="27" s="1"/>
  <c r="Q24" i="27"/>
  <c r="R24" i="27" s="1"/>
  <c r="Q23" i="27"/>
  <c r="R23" i="27" s="1"/>
  <c r="Q22" i="27"/>
  <c r="R22" i="27" s="1"/>
  <c r="Q21" i="27"/>
  <c r="R21" i="27" s="1"/>
  <c r="Q20" i="27"/>
  <c r="R20" i="27" s="1"/>
  <c r="Q19" i="27"/>
  <c r="R19" i="27" s="1"/>
  <c r="Q18" i="27"/>
  <c r="R18" i="27" s="1"/>
  <c r="Q17" i="27"/>
  <c r="R17" i="27" s="1"/>
  <c r="Q16" i="27"/>
  <c r="R16" i="27" s="1"/>
  <c r="Q15" i="27"/>
  <c r="R15" i="27" s="1"/>
  <c r="Q14" i="27"/>
  <c r="R14" i="27" s="1"/>
  <c r="Q13" i="27"/>
  <c r="R13" i="27" s="1"/>
  <c r="Q12" i="27"/>
  <c r="R12" i="27" s="1"/>
  <c r="Q11" i="27"/>
  <c r="R11" i="27" s="1"/>
  <c r="Q10" i="27"/>
  <c r="R10" i="27" s="1"/>
  <c r="Q9" i="27"/>
  <c r="R9" i="27" s="1"/>
  <c r="Q8" i="27"/>
  <c r="R8" i="27" s="1"/>
  <c r="Q7" i="27"/>
  <c r="R7" i="27" s="1"/>
  <c r="Q6" i="27"/>
  <c r="R6" i="27" s="1"/>
  <c r="X29" i="27"/>
  <c r="Y29" i="27" s="1"/>
  <c r="X28" i="27"/>
  <c r="Y28" i="27" s="1"/>
  <c r="X27" i="27"/>
  <c r="Y27" i="27" s="1"/>
  <c r="X26" i="27"/>
  <c r="Y26" i="27" s="1"/>
  <c r="X25" i="27"/>
  <c r="Y25" i="27" s="1"/>
  <c r="X24" i="27"/>
  <c r="Y24" i="27" s="1"/>
  <c r="X23" i="27"/>
  <c r="Y23" i="27" s="1"/>
  <c r="X22" i="27"/>
  <c r="Y22" i="27" s="1"/>
  <c r="X21" i="27"/>
  <c r="Y21" i="27" s="1"/>
  <c r="X20" i="27"/>
  <c r="Y20" i="27" s="1"/>
  <c r="X19" i="27"/>
  <c r="Y19" i="27" s="1"/>
  <c r="X18" i="27"/>
  <c r="Y18" i="27" s="1"/>
  <c r="X17" i="27"/>
  <c r="Y17" i="27" s="1"/>
  <c r="X16" i="27"/>
  <c r="Y16" i="27" s="1"/>
  <c r="X15" i="27"/>
  <c r="Y15" i="27" s="1"/>
  <c r="X14" i="27"/>
  <c r="Y14" i="27" s="1"/>
  <c r="X13" i="27"/>
  <c r="Y13" i="27" s="1"/>
  <c r="X12" i="27"/>
  <c r="Y12" i="27" s="1"/>
  <c r="X11" i="27"/>
  <c r="Y11" i="27" s="1"/>
  <c r="X10" i="27"/>
  <c r="Y10" i="27" s="1"/>
  <c r="X9" i="27"/>
  <c r="Y9" i="27" s="1"/>
  <c r="X8" i="27"/>
  <c r="Y8" i="27" s="1"/>
  <c r="X7" i="27"/>
  <c r="Y7" i="27" s="1"/>
  <c r="X6" i="27"/>
  <c r="Y6" i="27" s="1"/>
  <c r="Z6" i="27" s="1"/>
  <c r="O16" i="21" l="1"/>
  <c r="J6" i="38"/>
  <c r="I6" i="38"/>
  <c r="D7" i="38" s="1"/>
  <c r="G7" i="38" s="1"/>
  <c r="U5" i="27"/>
  <c r="T5" i="27"/>
  <c r="S5" i="27"/>
  <c r="U6" i="27"/>
  <c r="T6" i="27"/>
  <c r="S6" i="27"/>
  <c r="U7" i="27"/>
  <c r="T7" i="27"/>
  <c r="S7" i="27"/>
  <c r="U8" i="27"/>
  <c r="T8" i="27"/>
  <c r="S8" i="27"/>
  <c r="U9" i="27"/>
  <c r="T9" i="27"/>
  <c r="S9" i="27"/>
  <c r="U10" i="27"/>
  <c r="T10" i="27"/>
  <c r="S10" i="27"/>
  <c r="U11" i="27"/>
  <c r="T11" i="27"/>
  <c r="S11" i="27"/>
  <c r="U12" i="27"/>
  <c r="T12" i="27"/>
  <c r="S12" i="27"/>
  <c r="U13" i="27"/>
  <c r="T13" i="27"/>
  <c r="S13" i="27"/>
  <c r="U14" i="27"/>
  <c r="T14" i="27"/>
  <c r="S14" i="27"/>
  <c r="U15" i="27"/>
  <c r="T15" i="27"/>
  <c r="S15" i="27"/>
  <c r="U16" i="27"/>
  <c r="T16" i="27"/>
  <c r="S16" i="27"/>
  <c r="U17" i="27"/>
  <c r="T17" i="27"/>
  <c r="S17" i="27"/>
  <c r="U18" i="27"/>
  <c r="T18" i="27"/>
  <c r="S18" i="27"/>
  <c r="U19" i="27"/>
  <c r="T19" i="27"/>
  <c r="S19" i="27"/>
  <c r="U20" i="27"/>
  <c r="T20" i="27"/>
  <c r="S20" i="27"/>
  <c r="U21" i="27"/>
  <c r="T21" i="27"/>
  <c r="S21" i="27"/>
  <c r="U22" i="27"/>
  <c r="T22" i="27"/>
  <c r="S22" i="27"/>
  <c r="U23" i="27"/>
  <c r="T23" i="27"/>
  <c r="S23" i="27"/>
  <c r="U24" i="27"/>
  <c r="T24" i="27"/>
  <c r="S24" i="27"/>
  <c r="U25" i="27"/>
  <c r="T25" i="27"/>
  <c r="S25" i="27"/>
  <c r="U26" i="27"/>
  <c r="T26" i="27"/>
  <c r="S26" i="27"/>
  <c r="U27" i="27"/>
  <c r="T27" i="27"/>
  <c r="S27" i="27"/>
  <c r="U28" i="27"/>
  <c r="T28" i="27"/>
  <c r="S28" i="27"/>
  <c r="U29" i="27"/>
  <c r="T29" i="27"/>
  <c r="S29" i="27"/>
  <c r="AB5" i="27"/>
  <c r="AA5" i="27"/>
  <c r="Z5" i="27"/>
  <c r="AB6" i="27"/>
  <c r="AA6" i="27"/>
  <c r="AB7" i="27"/>
  <c r="AA7" i="27"/>
  <c r="Z7" i="27"/>
  <c r="AB8" i="27"/>
  <c r="AA8" i="27"/>
  <c r="Z8" i="27"/>
  <c r="AB9" i="27"/>
  <c r="AA9" i="27"/>
  <c r="Z9" i="27"/>
  <c r="AB10" i="27"/>
  <c r="AA10" i="27"/>
  <c r="Z10" i="27"/>
  <c r="AB11" i="27"/>
  <c r="AA11" i="27"/>
  <c r="Z11" i="27"/>
  <c r="AB12" i="27"/>
  <c r="AA12" i="27"/>
  <c r="Z12" i="27"/>
  <c r="AB13" i="27"/>
  <c r="AA13" i="27"/>
  <c r="Z13" i="27"/>
  <c r="AB14" i="27"/>
  <c r="AA14" i="27"/>
  <c r="Z14" i="27"/>
  <c r="AB15" i="27"/>
  <c r="AA15" i="27"/>
  <c r="Z15" i="27"/>
  <c r="AB16" i="27"/>
  <c r="AA16" i="27"/>
  <c r="Z16" i="27"/>
  <c r="AB17" i="27"/>
  <c r="AA17" i="27"/>
  <c r="Z17" i="27"/>
  <c r="AB18" i="27"/>
  <c r="AA18" i="27"/>
  <c r="Z18" i="27"/>
  <c r="AB19" i="27"/>
  <c r="AA19" i="27"/>
  <c r="Z19" i="27"/>
  <c r="AB20" i="27"/>
  <c r="AA20" i="27"/>
  <c r="Z20" i="27"/>
  <c r="AB21" i="27"/>
  <c r="AA21" i="27"/>
  <c r="Z21" i="27"/>
  <c r="AB22" i="27"/>
  <c r="AA22" i="27"/>
  <c r="Z22" i="27"/>
  <c r="AB23" i="27"/>
  <c r="AA23" i="27"/>
  <c r="Z23" i="27"/>
  <c r="AB24" i="27"/>
  <c r="AA24" i="27"/>
  <c r="Z24" i="27"/>
  <c r="AB25" i="27"/>
  <c r="AA25" i="27"/>
  <c r="Z25" i="27"/>
  <c r="AB26" i="27"/>
  <c r="AA26" i="27"/>
  <c r="Z26" i="27"/>
  <c r="AB27" i="27"/>
  <c r="AA27" i="27"/>
  <c r="Z27" i="27"/>
  <c r="AB28" i="27"/>
  <c r="AA28" i="27"/>
  <c r="Z28" i="27"/>
  <c r="AB29" i="27"/>
  <c r="AA29" i="27"/>
  <c r="Z29" i="27"/>
  <c r="O17" i="21" l="1"/>
  <c r="O20" i="21" s="1"/>
  <c r="O21" i="21" s="1"/>
  <c r="F46" i="20" s="1"/>
  <c r="I7" i="38"/>
  <c r="D8" i="38" s="1"/>
  <c r="G8" i="38" s="1"/>
  <c r="H6" i="38"/>
  <c r="E7" i="38" s="1"/>
  <c r="J8" i="38" l="1"/>
  <c r="I8" i="38"/>
  <c r="D9" i="38" s="1"/>
  <c r="G9" i="38" s="1"/>
  <c r="J7" i="38"/>
  <c r="H7" i="38" l="1"/>
  <c r="E8" i="38" s="1"/>
  <c r="H8" i="38" s="1"/>
  <c r="E9" i="38" s="1"/>
  <c r="AL29" i="27"/>
  <c r="AM29" i="27" s="1"/>
  <c r="AL28" i="27"/>
  <c r="AM28" i="27" s="1"/>
  <c r="AL27" i="27"/>
  <c r="AM27" i="27" s="1"/>
  <c r="AL26" i="27"/>
  <c r="AM26" i="27" s="1"/>
  <c r="AL25" i="27"/>
  <c r="AM25" i="27" s="1"/>
  <c r="AL24" i="27"/>
  <c r="AM24" i="27" s="1"/>
  <c r="AL23" i="27"/>
  <c r="AM23" i="27" s="1"/>
  <c r="AL22" i="27"/>
  <c r="AM22" i="27" s="1"/>
  <c r="AL21" i="27"/>
  <c r="AM21" i="27" s="1"/>
  <c r="AL20" i="27"/>
  <c r="AM20" i="27" s="1"/>
  <c r="AL19" i="27"/>
  <c r="AM19" i="27" s="1"/>
  <c r="AL18" i="27"/>
  <c r="AM18" i="27" s="1"/>
  <c r="AL17" i="27"/>
  <c r="AM17" i="27" s="1"/>
  <c r="AL16" i="27"/>
  <c r="AM16" i="27" s="1"/>
  <c r="AL15" i="27"/>
  <c r="AM15" i="27" s="1"/>
  <c r="AL14" i="27"/>
  <c r="AM14" i="27" s="1"/>
  <c r="AL13" i="27"/>
  <c r="AM13" i="27" s="1"/>
  <c r="AL12" i="27"/>
  <c r="AM12" i="27" s="1"/>
  <c r="AL11" i="27"/>
  <c r="AM11" i="27" s="1"/>
  <c r="AL10" i="27"/>
  <c r="AM10" i="27" s="1"/>
  <c r="AL9" i="27"/>
  <c r="AM9" i="27" s="1"/>
  <c r="AL8" i="27"/>
  <c r="AM8" i="27" s="1"/>
  <c r="AL7" i="27"/>
  <c r="AM7" i="27" s="1"/>
  <c r="AL6" i="27"/>
  <c r="AM6" i="27" s="1"/>
  <c r="AE29" i="27"/>
  <c r="AF29" i="27" s="1"/>
  <c r="AE28" i="27"/>
  <c r="AF28" i="27" s="1"/>
  <c r="AE27" i="27"/>
  <c r="AF27" i="27" s="1"/>
  <c r="AE26" i="27"/>
  <c r="AF26" i="27" s="1"/>
  <c r="AE25" i="27"/>
  <c r="AF25" i="27" s="1"/>
  <c r="AE24" i="27"/>
  <c r="AF24" i="27" s="1"/>
  <c r="AE23" i="27"/>
  <c r="AF23" i="27" s="1"/>
  <c r="AE22" i="27"/>
  <c r="AF22" i="27" s="1"/>
  <c r="AE21" i="27"/>
  <c r="AF21" i="27" s="1"/>
  <c r="AE20" i="27"/>
  <c r="AF20" i="27" s="1"/>
  <c r="AE19" i="27"/>
  <c r="AF19" i="27" s="1"/>
  <c r="AE18" i="27"/>
  <c r="AF18" i="27" s="1"/>
  <c r="AE17" i="27"/>
  <c r="AF17" i="27" s="1"/>
  <c r="AE16" i="27"/>
  <c r="AF16" i="27" s="1"/>
  <c r="AE15" i="27"/>
  <c r="AF15" i="27" s="1"/>
  <c r="AE14" i="27"/>
  <c r="AF14" i="27" s="1"/>
  <c r="AE13" i="27"/>
  <c r="AF13" i="27" s="1"/>
  <c r="AE12" i="27"/>
  <c r="AF12" i="27" s="1"/>
  <c r="AE11" i="27"/>
  <c r="AF11" i="27" s="1"/>
  <c r="AE10" i="27"/>
  <c r="AF10" i="27" s="1"/>
  <c r="AE9" i="27"/>
  <c r="AF9" i="27" s="1"/>
  <c r="AE8" i="27"/>
  <c r="AF8" i="27" s="1"/>
  <c r="AE7" i="27"/>
  <c r="AF7" i="27" s="1"/>
  <c r="AE6" i="27"/>
  <c r="AF6" i="27" s="1"/>
  <c r="J9" i="38" l="1"/>
  <c r="I9" i="38"/>
  <c r="D10" i="38" s="1"/>
  <c r="G10" i="38" s="1"/>
  <c r="AI6" i="27"/>
  <c r="AH6" i="27"/>
  <c r="AG6" i="27"/>
  <c r="AI7" i="27"/>
  <c r="AH7" i="27"/>
  <c r="AG7" i="27"/>
  <c r="AI8" i="27"/>
  <c r="AH8" i="27"/>
  <c r="AG8" i="27"/>
  <c r="AI9" i="27"/>
  <c r="AH9" i="27"/>
  <c r="AG9" i="27"/>
  <c r="AI10" i="27"/>
  <c r="AH10" i="27"/>
  <c r="AG10" i="27"/>
  <c r="AI11" i="27"/>
  <c r="AH11" i="27"/>
  <c r="AG11" i="27"/>
  <c r="AI12" i="27"/>
  <c r="AH12" i="27"/>
  <c r="AG12" i="27"/>
  <c r="AI13" i="27"/>
  <c r="AH13" i="27"/>
  <c r="AG13" i="27"/>
  <c r="AI14" i="27"/>
  <c r="AH14" i="27"/>
  <c r="AG14" i="27"/>
  <c r="AI15" i="27"/>
  <c r="AH15" i="27"/>
  <c r="AG15" i="27"/>
  <c r="AI16" i="27"/>
  <c r="AH16" i="27"/>
  <c r="AG16" i="27"/>
  <c r="AI17" i="27"/>
  <c r="AH17" i="27"/>
  <c r="AG17" i="27"/>
  <c r="AI18" i="27"/>
  <c r="AH18" i="27"/>
  <c r="AG18" i="27"/>
  <c r="AI19" i="27"/>
  <c r="AH19" i="27"/>
  <c r="AG19" i="27"/>
  <c r="AI20" i="27"/>
  <c r="AH20" i="27"/>
  <c r="AG20" i="27"/>
  <c r="AI21" i="27"/>
  <c r="AH21" i="27"/>
  <c r="AG21" i="27"/>
  <c r="AI22" i="27"/>
  <c r="AH22" i="27"/>
  <c r="AG22" i="27"/>
  <c r="AI23" i="27"/>
  <c r="AH23" i="27"/>
  <c r="AG23" i="27"/>
  <c r="AI24" i="27"/>
  <c r="AH24" i="27"/>
  <c r="AG24" i="27"/>
  <c r="AI25" i="27"/>
  <c r="AH25" i="27"/>
  <c r="AG25" i="27"/>
  <c r="AI26" i="27"/>
  <c r="AH26" i="27"/>
  <c r="AG26" i="27"/>
  <c r="AI27" i="27"/>
  <c r="AH27" i="27"/>
  <c r="AG27" i="27"/>
  <c r="AI28" i="27"/>
  <c r="AH28" i="27"/>
  <c r="AG28" i="27"/>
  <c r="AI29" i="27"/>
  <c r="AH29" i="27"/>
  <c r="AG29" i="27"/>
  <c r="AI5" i="27"/>
  <c r="AH5" i="27"/>
  <c r="AG5" i="27"/>
  <c r="AP5" i="27"/>
  <c r="AO5" i="27"/>
  <c r="AN5" i="27"/>
  <c r="AP6" i="27"/>
  <c r="AO6" i="27"/>
  <c r="AN6" i="27"/>
  <c r="AP7" i="27"/>
  <c r="AO7" i="27"/>
  <c r="AN7" i="27"/>
  <c r="AP8" i="27"/>
  <c r="AO8" i="27"/>
  <c r="AN8" i="27"/>
  <c r="AP9" i="27"/>
  <c r="AO9" i="27"/>
  <c r="AN9" i="27"/>
  <c r="AP10" i="27"/>
  <c r="AO10" i="27"/>
  <c r="AN10" i="27"/>
  <c r="AP11" i="27"/>
  <c r="AO11" i="27"/>
  <c r="AN11" i="27"/>
  <c r="AP12" i="27"/>
  <c r="AO12" i="27"/>
  <c r="AN12" i="27"/>
  <c r="AP13" i="27"/>
  <c r="AO13" i="27"/>
  <c r="AN13" i="27"/>
  <c r="AP14" i="27"/>
  <c r="AO14" i="27"/>
  <c r="AN14" i="27"/>
  <c r="AP15" i="27"/>
  <c r="AO15" i="27"/>
  <c r="AN15" i="27"/>
  <c r="AP16" i="27"/>
  <c r="AO16" i="27"/>
  <c r="AN16" i="27"/>
  <c r="AP17" i="27"/>
  <c r="AO17" i="27"/>
  <c r="AN17" i="27"/>
  <c r="AP18" i="27"/>
  <c r="AO18" i="27"/>
  <c r="AN18" i="27"/>
  <c r="AP19" i="27"/>
  <c r="AO19" i="27"/>
  <c r="AN19" i="27"/>
  <c r="AP20" i="27"/>
  <c r="AO20" i="27"/>
  <c r="AN20" i="27"/>
  <c r="AP21" i="27"/>
  <c r="AO21" i="27"/>
  <c r="AN21" i="27"/>
  <c r="AP22" i="27"/>
  <c r="AO22" i="27"/>
  <c r="AN22" i="27"/>
  <c r="AP23" i="27"/>
  <c r="AO23" i="27"/>
  <c r="AN23" i="27"/>
  <c r="AP24" i="27"/>
  <c r="AO24" i="27"/>
  <c r="AN24" i="27"/>
  <c r="AP25" i="27"/>
  <c r="AO25" i="27"/>
  <c r="AN25" i="27"/>
  <c r="AP26" i="27"/>
  <c r="AO26" i="27"/>
  <c r="AN26" i="27"/>
  <c r="AP27" i="27"/>
  <c r="AO27" i="27"/>
  <c r="AN27" i="27"/>
  <c r="AP28" i="27"/>
  <c r="AO28" i="27"/>
  <c r="AN28" i="27"/>
  <c r="AP29" i="27"/>
  <c r="AO29" i="27"/>
  <c r="AN29" i="27"/>
  <c r="F94" i="20"/>
  <c r="B2" i="41" s="1"/>
  <c r="F76" i="20"/>
  <c r="F6" i="20"/>
  <c r="F8" i="20" s="1"/>
  <c r="H9" i="38" l="1"/>
  <c r="E10" i="38" s="1"/>
  <c r="F53" i="20"/>
  <c r="J10" i="38" l="1"/>
  <c r="I10" i="38"/>
  <c r="D11" i="38" s="1"/>
  <c r="G11" i="38" s="1"/>
  <c r="F54" i="20"/>
  <c r="H10" i="38" l="1"/>
  <c r="E11" i="38" s="1"/>
  <c r="J11" i="38" l="1"/>
  <c r="I11" i="38"/>
  <c r="D12" i="38" s="1"/>
  <c r="G12" i="38" s="1"/>
  <c r="H11" i="38" l="1"/>
  <c r="E12" i="38" s="1"/>
  <c r="J12" i="38" l="1"/>
  <c r="I12" i="38"/>
  <c r="D13" i="38" s="1"/>
  <c r="G13" i="38" s="1"/>
  <c r="H12" i="38" l="1"/>
  <c r="E13" i="38" s="1"/>
  <c r="J13" i="38" l="1"/>
  <c r="I13" i="38"/>
  <c r="D14" i="38" s="1"/>
  <c r="G14" i="38" s="1"/>
  <c r="H13" i="38" l="1"/>
  <c r="E14" i="38" s="1"/>
  <c r="J14" i="38" l="1"/>
  <c r="I14" i="38"/>
  <c r="D15" i="38" s="1"/>
  <c r="G15" i="38" s="1"/>
  <c r="H14" i="38" l="1"/>
  <c r="E15" i="38" s="1"/>
  <c r="J15" i="38" l="1"/>
  <c r="I15" i="38"/>
  <c r="D16" i="38" s="1"/>
  <c r="G16" i="38" s="1"/>
  <c r="J16" i="38" l="1"/>
  <c r="I16" i="38"/>
  <c r="D17" i="38" s="1"/>
  <c r="G17" i="38" s="1"/>
  <c r="H15" i="38"/>
  <c r="E16" i="38" s="1"/>
  <c r="H16" i="38" l="1"/>
  <c r="E17" i="38" s="1"/>
  <c r="J17" i="38" l="1"/>
  <c r="I17" i="38"/>
  <c r="D18" i="38" s="1"/>
  <c r="G18" i="38" s="1"/>
  <c r="H17" i="38" l="1"/>
  <c r="E18" i="38" s="1"/>
  <c r="J18" i="38" l="1"/>
  <c r="I18" i="38"/>
  <c r="D19" i="38" s="1"/>
  <c r="G19" i="38" s="1"/>
  <c r="H18" i="38" l="1"/>
  <c r="E19" i="38" s="1"/>
  <c r="J19" i="38" l="1"/>
  <c r="I19" i="38"/>
  <c r="D20" i="38" s="1"/>
  <c r="G20" i="38" s="1"/>
  <c r="H19" i="38" l="1"/>
  <c r="E20" i="38" s="1"/>
  <c r="J20" i="38" l="1"/>
  <c r="J67" i="38" s="1"/>
  <c r="I20" i="38"/>
  <c r="D21" i="38" s="1"/>
  <c r="G21" i="38" s="1"/>
  <c r="H20" i="38" l="1"/>
  <c r="E21" i="38" s="1"/>
  <c r="J21" i="38" l="1"/>
  <c r="I21" i="38"/>
  <c r="D22" i="38" l="1"/>
  <c r="G22" i="38" s="1"/>
  <c r="H21" i="38"/>
  <c r="E22" i="38" l="1"/>
  <c r="H22" i="38" s="1"/>
  <c r="J22" i="38"/>
  <c r="I22" i="38"/>
  <c r="D23" i="38" l="1"/>
  <c r="G23" i="38" s="1"/>
  <c r="J23" i="38" l="1"/>
  <c r="E23" i="38"/>
  <c r="I23" i="38"/>
  <c r="D24" i="38" l="1"/>
  <c r="G24" i="38" s="1"/>
  <c r="H23" i="38"/>
  <c r="J24" i="38" l="1"/>
  <c r="E24" i="38"/>
  <c r="I24" i="38"/>
  <c r="D25" i="38" l="1"/>
  <c r="G25" i="38" s="1"/>
  <c r="H24" i="38"/>
  <c r="J25" i="38" l="1"/>
  <c r="E25" i="38"/>
  <c r="I25" i="38"/>
  <c r="D26" i="38" l="1"/>
  <c r="G26" i="38" s="1"/>
  <c r="H25" i="38"/>
  <c r="E26" i="38" l="1"/>
  <c r="H26" i="38" s="1"/>
  <c r="J26" i="38"/>
  <c r="I26" i="38"/>
  <c r="D27" i="38" l="1"/>
  <c r="G27" i="38" s="1"/>
  <c r="J27" i="38" l="1"/>
  <c r="E27" i="38"/>
  <c r="I27" i="38"/>
  <c r="D28" i="38" l="1"/>
  <c r="G28" i="38" s="1"/>
  <c r="H27" i="38"/>
  <c r="J28" i="38" l="1"/>
  <c r="E28" i="38"/>
  <c r="I28" i="38"/>
  <c r="D29" i="38" l="1"/>
  <c r="G29" i="38" s="1"/>
  <c r="H28" i="38"/>
  <c r="J29" i="38" l="1"/>
  <c r="E29" i="38"/>
  <c r="I29" i="38"/>
  <c r="D30" i="38" l="1"/>
  <c r="G30" i="38" s="1"/>
  <c r="H29" i="38"/>
  <c r="E30" i="38" l="1"/>
  <c r="H30" i="38" s="1"/>
  <c r="I30" i="38"/>
  <c r="D31" i="38"/>
  <c r="G31" i="38" s="1"/>
  <c r="J30" i="38"/>
  <c r="I31" i="38" l="1"/>
  <c r="D32" i="38" s="1"/>
  <c r="G32" i="38" s="1"/>
  <c r="E31" i="38"/>
  <c r="J31" i="38"/>
  <c r="I32" i="38" l="1"/>
  <c r="D33" i="38" s="1"/>
  <c r="G33" i="38" s="1"/>
  <c r="H31" i="38"/>
  <c r="E32" i="38" s="1"/>
  <c r="J32" i="38"/>
  <c r="I33" i="38" l="1"/>
  <c r="H32" i="38"/>
  <c r="E33" i="38" s="1"/>
  <c r="D34" i="38"/>
  <c r="G34" i="38" s="1"/>
  <c r="J33" i="38"/>
  <c r="I34" i="38" l="1"/>
  <c r="D35" i="38" s="1"/>
  <c r="G35" i="38" s="1"/>
  <c r="H33" i="38"/>
  <c r="E34" i="38" s="1"/>
  <c r="J34" i="38"/>
  <c r="J35" i="38" l="1"/>
  <c r="I35" i="38"/>
  <c r="H34" i="38"/>
  <c r="E35" i="38" s="1"/>
  <c r="D36" i="38" l="1"/>
  <c r="H35" i="38"/>
  <c r="E36" i="38" l="1"/>
  <c r="H36" i="38" s="1"/>
  <c r="G36" i="38"/>
  <c r="J36" i="38"/>
  <c r="I36" i="38"/>
  <c r="D37" i="38" l="1"/>
  <c r="E37" i="38" s="1"/>
  <c r="H37" i="38" s="1"/>
  <c r="G37" i="38" l="1"/>
  <c r="J37" i="38"/>
  <c r="I37" i="38"/>
  <c r="D38" i="38" l="1"/>
  <c r="G38" i="38" l="1"/>
  <c r="J38" i="38"/>
  <c r="E38" i="38"/>
  <c r="H38" i="38" s="1"/>
  <c r="I38" i="38"/>
  <c r="D39" i="38" l="1"/>
  <c r="G39" i="38" l="1"/>
  <c r="J39" i="38"/>
  <c r="E39" i="38"/>
  <c r="H39" i="38" s="1"/>
  <c r="I39" i="38"/>
  <c r="D40" i="38" l="1"/>
  <c r="G40" i="38" l="1"/>
  <c r="J40" i="38"/>
  <c r="E40" i="38"/>
  <c r="I40" i="38"/>
  <c r="H40" i="38" l="1"/>
  <c r="D41" i="38"/>
  <c r="F104" i="20"/>
  <c r="J41" i="38" l="1"/>
  <c r="G41" i="38"/>
  <c r="E41" i="38"/>
  <c r="I41" i="38"/>
  <c r="D42" i="38" l="1"/>
  <c r="H41" i="38"/>
  <c r="E42" i="38" l="1"/>
  <c r="J42" i="38"/>
  <c r="G42" i="38"/>
  <c r="I42" i="38"/>
  <c r="D43" i="38" l="1"/>
  <c r="H42" i="38"/>
  <c r="E43" i="38" l="1"/>
  <c r="G43" i="38"/>
  <c r="J43" i="38"/>
  <c r="I43" i="38"/>
  <c r="D44" i="38" l="1"/>
  <c r="H43" i="38"/>
  <c r="E44" i="38" l="1"/>
  <c r="J44" i="38"/>
  <c r="G44" i="38"/>
  <c r="I44" i="38"/>
  <c r="D45" i="38" l="1"/>
  <c r="H44" i="38"/>
  <c r="J45" i="38" l="1"/>
  <c r="G45" i="38"/>
  <c r="E45" i="38"/>
  <c r="H45" i="38" s="1"/>
  <c r="I45" i="38"/>
  <c r="D46" i="38" l="1"/>
  <c r="E46" i="38" s="1"/>
  <c r="H46" i="38" s="1"/>
  <c r="J46" i="38" l="1"/>
  <c r="G46" i="38"/>
  <c r="I46" i="38"/>
  <c r="D47" i="38" l="1"/>
  <c r="G47" i="38" l="1"/>
  <c r="J47" i="38"/>
  <c r="E47" i="38"/>
  <c r="H47" i="38" s="1"/>
  <c r="I47" i="38"/>
  <c r="D48" i="38" l="1"/>
  <c r="E48" i="38" s="1"/>
  <c r="H48" i="38" s="1"/>
  <c r="G48" i="38" l="1"/>
  <c r="J48" i="38"/>
  <c r="I48" i="38"/>
  <c r="D49" i="38" l="1"/>
  <c r="G49" i="38" l="1"/>
  <c r="J49" i="38"/>
  <c r="E49" i="38"/>
  <c r="H49" i="38" s="1"/>
  <c r="I49" i="38"/>
  <c r="D50" i="38" l="1"/>
  <c r="E50" i="38" s="1"/>
  <c r="H50" i="38" s="1"/>
  <c r="J50" i="38" l="1"/>
  <c r="G50" i="38"/>
  <c r="I50" i="38"/>
  <c r="D51" i="38" l="1"/>
  <c r="J51" i="38" l="1"/>
  <c r="G51" i="38"/>
  <c r="E51" i="38"/>
  <c r="H51" i="38" s="1"/>
  <c r="I51" i="38"/>
  <c r="D52" i="38" l="1"/>
  <c r="E52" i="38" s="1"/>
  <c r="H52" i="38" s="1"/>
  <c r="J52" i="38" l="1"/>
  <c r="G52" i="38"/>
  <c r="I52" i="38"/>
  <c r="D53" i="38" l="1"/>
  <c r="G53" i="38" l="1"/>
  <c r="J53" i="38"/>
  <c r="E53" i="38"/>
  <c r="H53" i="38" s="1"/>
  <c r="I53" i="38"/>
  <c r="D54" i="38" l="1"/>
  <c r="E54" i="38" s="1"/>
  <c r="H54" i="38" s="1"/>
  <c r="G54" i="38" l="1"/>
  <c r="J54" i="38"/>
  <c r="I54" i="38"/>
  <c r="D55" i="38" l="1"/>
  <c r="G55" i="38" l="1"/>
  <c r="J55" i="38"/>
  <c r="E55" i="38"/>
  <c r="H55" i="38" s="1"/>
  <c r="I55" i="38"/>
  <c r="D56" i="38" l="1"/>
  <c r="E56" i="38" s="1"/>
  <c r="H56" i="38" s="1"/>
  <c r="G56" i="38" l="1"/>
  <c r="J56" i="38"/>
  <c r="I56" i="38"/>
  <c r="D57" i="38" l="1"/>
  <c r="G57" i="38" l="1"/>
  <c r="J57" i="38"/>
  <c r="E57" i="38"/>
  <c r="H57" i="38" s="1"/>
  <c r="I57" i="38"/>
  <c r="D58" i="38" l="1"/>
  <c r="J58" i="38" l="1"/>
  <c r="G58" i="38"/>
  <c r="E58" i="38"/>
  <c r="H58" i="38" s="1"/>
  <c r="I58" i="38"/>
  <c r="D59" i="38" l="1"/>
  <c r="E59" i="38" s="1"/>
  <c r="H59" i="38" s="1"/>
  <c r="G59" i="38" l="1"/>
  <c r="J59" i="38"/>
  <c r="I59" i="38"/>
  <c r="D60" i="38" l="1"/>
  <c r="J60" i="38" l="1"/>
  <c r="G60" i="38"/>
  <c r="E60" i="38"/>
  <c r="H60" i="38" s="1"/>
  <c r="I60" i="38"/>
  <c r="D61" i="38" l="1"/>
  <c r="E61" i="38" s="1"/>
  <c r="H61" i="38" s="1"/>
  <c r="J61" i="38" l="1"/>
  <c r="G61" i="38"/>
  <c r="I61" i="38"/>
  <c r="D62" i="38" l="1"/>
  <c r="J62" i="38" l="1"/>
  <c r="G62" i="38"/>
  <c r="E62" i="38"/>
  <c r="H62" i="38" s="1"/>
  <c r="I62" i="38"/>
  <c r="D63" i="38" l="1"/>
  <c r="E63" i="38" s="1"/>
  <c r="H63" i="38" s="1"/>
  <c r="G63" i="38" l="1"/>
  <c r="J63" i="38"/>
  <c r="I63" i="38"/>
  <c r="D64" i="38" l="1"/>
  <c r="G64" i="38" l="1"/>
  <c r="J64" i="38"/>
  <c r="E64" i="38"/>
  <c r="H64" i="38" s="1"/>
  <c r="I64" i="38"/>
  <c r="D65" i="38" l="1"/>
  <c r="E65" i="38" s="1"/>
  <c r="H65" i="38" s="1"/>
  <c r="G65" i="38" l="1"/>
  <c r="J65" i="38"/>
  <c r="I65" i="38"/>
  <c r="D66" i="38" l="1"/>
  <c r="J66" i="38" l="1"/>
  <c r="G66" i="38"/>
  <c r="G67" i="38" s="1"/>
  <c r="D67" i="38"/>
  <c r="J68" i="38" s="1"/>
  <c r="E66" i="38"/>
  <c r="I66" i="38"/>
  <c r="G68" i="38" l="1"/>
  <c r="F18" i="20" s="1"/>
  <c r="H66" i="38"/>
  <c r="E67" i="38"/>
  <c r="F28" i="20" l="1"/>
  <c r="F35" i="20" l="1"/>
  <c r="F43" i="20"/>
  <c r="F34" i="20"/>
  <c r="F42" i="20"/>
  <c r="F44" i="20" l="1"/>
  <c r="F45" i="20" s="1"/>
  <c r="F47" i="20" s="1"/>
  <c r="F36" i="20"/>
  <c r="F38" i="20" l="1"/>
  <c r="F49" i="20" s="1"/>
  <c r="F55" i="20" s="1"/>
  <c r="F37" i="20"/>
  <c r="F61" i="20" l="1"/>
  <c r="F63" i="20" s="1"/>
  <c r="F81" i="20"/>
  <c r="F83" i="20" s="1"/>
  <c r="F89" i="20"/>
  <c r="F67" i="20"/>
  <c r="F70" i="20" s="1"/>
  <c r="F74" i="20"/>
  <c r="F77" i="20" s="1"/>
  <c r="F85" i="20" l="1"/>
  <c r="F87" i="20" s="1"/>
  <c r="F93" i="20" s="1"/>
  <c r="B1" i="41" l="1"/>
  <c r="B3" i="41" s="1"/>
  <c r="B8" i="41" l="1"/>
  <c r="B6" i="41"/>
  <c r="B4" i="41"/>
  <c r="B5" i="41" s="1"/>
  <c r="B7" i="41" l="1"/>
  <c r="B9" i="41" s="1"/>
  <c r="F95" i="20" s="1"/>
  <c r="F96" i="20" s="1"/>
  <c r="F105"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author>
  </authors>
  <commentList>
    <comment ref="D11" authorId="0" shapeId="0" xr:uid="{00000000-0006-0000-0000-000001000000}">
      <text>
        <r>
          <rPr>
            <b/>
            <sz val="9"/>
            <color indexed="81"/>
            <rFont val="Tahoma"/>
            <family val="2"/>
          </rPr>
          <t>Roberto:</t>
        </r>
        <r>
          <rPr>
            <sz val="9"/>
            <color indexed="81"/>
            <rFont val="Tahoma"/>
            <family val="2"/>
          </rPr>
          <t xml:space="preserve">
Este campo genera la información con base a la </t>
        </r>
        <r>
          <rPr>
            <b/>
            <sz val="9"/>
            <color indexed="81"/>
            <rFont val="Tahoma"/>
            <family val="2"/>
          </rPr>
          <t xml:space="preserve">Fecha de Baja [F9] </t>
        </r>
        <r>
          <rPr>
            <sz val="9"/>
            <color indexed="81"/>
            <rFont val="Tahoma"/>
            <family val="2"/>
          </rPr>
          <t xml:space="preserve"> y a </t>
        </r>
        <r>
          <rPr>
            <b/>
            <sz val="9"/>
            <color indexed="81"/>
            <rFont val="Tahoma"/>
            <family val="2"/>
          </rPr>
          <t xml:space="preserve">las Semanas Cotizadas IMSS [F12]. </t>
        </r>
        <r>
          <rPr>
            <sz val="9"/>
            <color indexed="81"/>
            <rFont val="Tahoma"/>
            <family val="2"/>
          </rPr>
          <t xml:space="preserve">por lo que debe confirmar que la información en ambos campos sea correcta.
 </t>
        </r>
      </text>
    </comment>
    <comment ref="D12" authorId="0" shapeId="0" xr:uid="{00000000-0006-0000-0000-000002000000}">
      <text>
        <r>
          <rPr>
            <b/>
            <sz val="9"/>
            <color indexed="81"/>
            <rFont val="Tahoma"/>
            <family val="2"/>
          </rPr>
          <t>Roberto:</t>
        </r>
        <r>
          <rPr>
            <sz val="9"/>
            <color indexed="81"/>
            <rFont val="Tahoma"/>
            <family val="2"/>
          </rPr>
          <t xml:space="preserve">
La información de este campo depende de la información del campo </t>
        </r>
        <r>
          <rPr>
            <b/>
            <sz val="9"/>
            <color indexed="81"/>
            <rFont val="Tahoma"/>
            <family val="2"/>
          </rPr>
          <t>Fecha de Baja [F9]</t>
        </r>
        <r>
          <rPr>
            <sz val="9"/>
            <color indexed="81"/>
            <rFont val="Tahoma"/>
            <family val="2"/>
          </rPr>
          <t>, por favor confirmar que sea correcto.</t>
        </r>
      </text>
    </comment>
    <comment ref="F12" authorId="1" shapeId="0" xr:uid="{00000000-0006-0000-0000-000003000000}">
      <text>
        <r>
          <rPr>
            <b/>
            <sz val="9"/>
            <color indexed="81"/>
            <rFont val="Tahoma"/>
            <family val="2"/>
          </rPr>
          <t>ROBERTO:</t>
        </r>
        <r>
          <rPr>
            <sz val="9"/>
            <color indexed="81"/>
            <rFont val="Tahoma"/>
            <family val="2"/>
          </rPr>
          <t xml:space="preserve">
Recuerde que en ley 73, el mínimo de semanas cotizadas para poder pensionarse es de 500</t>
        </r>
      </text>
    </comment>
    <comment ref="F14" authorId="0" shapeId="0" xr:uid="{00000000-0006-0000-0000-000004000000}">
      <text>
        <r>
          <rPr>
            <b/>
            <sz val="9"/>
            <color indexed="81"/>
            <rFont val="Tahoma"/>
            <family val="2"/>
          </rPr>
          <t>Roberto:</t>
        </r>
        <r>
          <rPr>
            <sz val="9"/>
            <color indexed="81"/>
            <rFont val="Tahoma"/>
            <family val="2"/>
          </rPr>
          <t xml:space="preserve">
Si le fueron descontadas semanas por concepto de 
ayuda por desempleo y planea recuperarlas, puede capturarlas en este campo</t>
        </r>
      </text>
    </comment>
    <comment ref="F15" authorId="0" shapeId="0" xr:uid="{00000000-0006-0000-0000-000005000000}">
      <text>
        <r>
          <rPr>
            <b/>
            <sz val="9"/>
            <color indexed="81"/>
            <rFont val="Tahoma"/>
            <family val="2"/>
          </rPr>
          <t>Roberto:</t>
        </r>
        <r>
          <rPr>
            <sz val="9"/>
            <color indexed="81"/>
            <rFont val="Tahoma"/>
            <family val="2"/>
          </rPr>
          <t xml:space="preserve">
En esta campo puede registrar semanas que tenga en aclaración</t>
        </r>
      </text>
    </comment>
    <comment ref="F18" authorId="0" shapeId="0" xr:uid="{00000000-0006-0000-0000-000006000000}">
      <text>
        <r>
          <rPr>
            <b/>
            <sz val="9"/>
            <color indexed="81"/>
            <rFont val="Tahoma"/>
            <family val="2"/>
          </rPr>
          <t>Roberto:</t>
        </r>
        <r>
          <rPr>
            <sz val="9"/>
            <color indexed="81"/>
            <rFont val="Tahoma"/>
            <family val="2"/>
          </rPr>
          <t xml:space="preserve">
Este campo obtiene el salario promedio diario calculado en la hoja correspondiente pero puede ser capturado directamente. Si desea registrarlo directamente, se recomienda guardar primeramente el archivo para que no pierda la fórmula en posteriores usos.</t>
        </r>
      </text>
    </comment>
    <comment ref="F26" authorId="1" shapeId="0" xr:uid="{00000000-0006-0000-0000-000007000000}">
      <text>
        <r>
          <rPr>
            <b/>
            <sz val="9"/>
            <color indexed="81"/>
            <rFont val="Tahoma"/>
            <family val="2"/>
          </rPr>
          <t>ROBERTO:</t>
        </r>
        <r>
          <rPr>
            <sz val="9"/>
            <color indexed="81"/>
            <rFont val="Tahoma"/>
            <family val="2"/>
          </rPr>
          <t xml:space="preserve">
El valor de la UMA, se actualiza en el mes de febrero. Usted debe actualizar de manera manual éste dato.</t>
        </r>
      </text>
    </comment>
    <comment ref="F102" authorId="0" shapeId="0" xr:uid="{00000000-0006-0000-0000-000008000000}">
      <text>
        <r>
          <rPr>
            <b/>
            <sz val="9"/>
            <color indexed="81"/>
            <rFont val="Tahoma"/>
            <family val="2"/>
          </rPr>
          <t>Roberto:</t>
        </r>
        <r>
          <rPr>
            <sz val="9"/>
            <color indexed="81"/>
            <rFont val="Tahoma"/>
            <family val="2"/>
          </rPr>
          <t xml:space="preserve">
Este campo se captura manualmente
</t>
        </r>
      </text>
    </comment>
    <comment ref="F103" authorId="0" shapeId="0" xr:uid="{00000000-0006-0000-0000-000009000000}">
      <text>
        <r>
          <rPr>
            <b/>
            <sz val="9"/>
            <color indexed="81"/>
            <rFont val="Tahoma"/>
            <family val="2"/>
          </rPr>
          <t>Roberto:</t>
        </r>
        <r>
          <rPr>
            <sz val="9"/>
            <color indexed="81"/>
            <rFont val="Tahoma"/>
            <family val="2"/>
          </rPr>
          <t xml:space="preserve">
Este campo se captura manualmente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author>
  </authors>
  <commentList>
    <comment ref="G8" authorId="0" shapeId="0" xr:uid="{00000000-0006-0000-0100-000001000000}">
      <text>
        <r>
          <rPr>
            <b/>
            <sz val="9"/>
            <color indexed="81"/>
            <rFont val="Tahoma"/>
            <family val="2"/>
          </rPr>
          <t>Roberto:</t>
        </r>
        <r>
          <rPr>
            <sz val="9"/>
            <color indexed="81"/>
            <rFont val="Tahoma"/>
            <family val="2"/>
          </rPr>
          <t xml:space="preserve">
Salario diario registrado en Modalidad 40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INPC (abril 2022) = $ 120 809" description="Conexión a la consulta 'INPC (abril 2022) = $ 120 809' en el libro." type="5" refreshedVersion="8" background="1" saveData="1">
    <dbPr connection="Provider=Microsoft.Mashup.OleDb.1;Data Source=$Workbook$;Location=&quot;INPC (abril 2022) = $ 120 809&quot;;Extended Properties=&quot;&quot;" command="SELECT * FROM [INPC (abril 2022) = $ 120 809]"/>
  </connection>
</connections>
</file>

<file path=xl/sharedStrings.xml><?xml version="1.0" encoding="utf-8"?>
<sst xmlns="http://schemas.openxmlformats.org/spreadsheetml/2006/main" count="263" uniqueCount="128">
  <si>
    <t>DIAS</t>
  </si>
  <si>
    <t>SEMANAS</t>
  </si>
  <si>
    <t>BASE GRAVABLE</t>
  </si>
  <si>
    <t>LIMITE INFERIOR</t>
  </si>
  <si>
    <t>Tarifa del Impuesto Sobre la Renta</t>
  </si>
  <si>
    <t>Límite inferior</t>
  </si>
  <si>
    <t>Límite superior</t>
  </si>
  <si>
    <t>Cuota fija</t>
  </si>
  <si>
    <t>% Sobre excedente</t>
  </si>
  <si>
    <t>del límite inferior</t>
  </si>
  <si>
    <t>DIFERENCIA LIMITE INFERIOR</t>
  </si>
  <si>
    <t>PORCENTAJE LIMITE INFERIOR</t>
  </si>
  <si>
    <t>IMPUESTO MARGINAL</t>
  </si>
  <si>
    <t>CUOTA FIJA</t>
  </si>
  <si>
    <t>IMPUESTO A PAGAR</t>
  </si>
  <si>
    <t>NSS:</t>
  </si>
  <si>
    <t>Curp:</t>
  </si>
  <si>
    <t>Fecha de Nacimiento:</t>
  </si>
  <si>
    <t>Fecha de Cálculo:</t>
  </si>
  <si>
    <t>Edad Actual:</t>
  </si>
  <si>
    <t>Semanas por cotizar Mod. 40</t>
  </si>
  <si>
    <t>Semanas por aclarar:</t>
  </si>
  <si>
    <t>Total semanas para cálculo:</t>
  </si>
  <si>
    <t>Edad de Retiro:</t>
  </si>
  <si>
    <t xml:space="preserve"> </t>
  </si>
  <si>
    <t>Salario promedio últimas 250 semanas:</t>
  </si>
  <si>
    <t>Esposa o concubina:</t>
  </si>
  <si>
    <t>Padres que dependan económicamente del asegurado:</t>
  </si>
  <si>
    <t>Salario mínimo vigente:</t>
  </si>
  <si>
    <t>Salario en veces unidad de medida:</t>
  </si>
  <si>
    <t>Valor de unidad de medida (UMA):</t>
  </si>
  <si>
    <t>De</t>
  </si>
  <si>
    <t>a</t>
  </si>
  <si>
    <t>Cuantía Básica</t>
  </si>
  <si>
    <t>Incremento Anual</t>
  </si>
  <si>
    <t>Porcentaje de cuantía básica:</t>
  </si>
  <si>
    <t>Cuantía básica por día:</t>
  </si>
  <si>
    <t>Cuantía básica anual (365 días):</t>
  </si>
  <si>
    <t>Incremento diario:</t>
  </si>
  <si>
    <t>Incremento Anual:</t>
  </si>
  <si>
    <t>Importe total de incrementos anuales a la cuantía básica:</t>
  </si>
  <si>
    <t>Cuantía de la pensión anual:</t>
  </si>
  <si>
    <t>Asignación del:</t>
  </si>
  <si>
    <t>Importe total de asignación por Esposa o Concubina:</t>
  </si>
  <si>
    <t>Asignación por cada hijo del:</t>
  </si>
  <si>
    <t>Número de hijos menores de edad o estudiantes menores de 25 años:</t>
  </si>
  <si>
    <t>Número de padres:</t>
  </si>
  <si>
    <t>Ayuda asistencial por soledad:</t>
  </si>
  <si>
    <t>Edad del trabajador al solicitar la pensión:</t>
  </si>
  <si>
    <t>Porcentaje correspondiente por edad de Cesantía:</t>
  </si>
  <si>
    <t>Edad de Retiro</t>
  </si>
  <si>
    <t>Incremento anual</t>
  </si>
  <si>
    <t>Total de pensión mensual antes de impuestos:</t>
  </si>
  <si>
    <t>Excensión de ISR (15 UMAs):</t>
  </si>
  <si>
    <t>ISR por pagar:</t>
  </si>
  <si>
    <t>Total de pensión a recibir mensualmente libre de impuestos:</t>
  </si>
  <si>
    <t>Total de pensión mensual</t>
  </si>
  <si>
    <t>Excensión (15 UMAs)</t>
  </si>
  <si>
    <t>Asignación por cada padre:</t>
  </si>
  <si>
    <t>OPCION A</t>
  </si>
  <si>
    <t>Año</t>
  </si>
  <si>
    <t>Cantidad de UMAs</t>
  </si>
  <si>
    <t>Valor de la UMA</t>
  </si>
  <si>
    <t>Pago de 28 días</t>
  </si>
  <si>
    <t>Pago de 30 días</t>
  </si>
  <si>
    <t>Pago de 31 días</t>
  </si>
  <si>
    <t>Pago Díario</t>
  </si>
  <si>
    <t>Febrero</t>
  </si>
  <si>
    <t>Marzo</t>
  </si>
  <si>
    <t>Abril</t>
  </si>
  <si>
    <t>Mayo</t>
  </si>
  <si>
    <t>Junio</t>
  </si>
  <si>
    <t>Julio</t>
  </si>
  <si>
    <t>Agosto</t>
  </si>
  <si>
    <t>Enero</t>
  </si>
  <si>
    <t>Septiembre</t>
  </si>
  <si>
    <t>Octubre</t>
  </si>
  <si>
    <t>Noviembre</t>
  </si>
  <si>
    <t>Diciembre</t>
  </si>
  <si>
    <t>Salario Diario 2</t>
  </si>
  <si>
    <t>Salario Diario 1</t>
  </si>
  <si>
    <t>Monto total de la inversión:</t>
  </si>
  <si>
    <t xml:space="preserve">Días totales del año: </t>
  </si>
  <si>
    <t>Fecha de inicio de pago Modalidad 40:</t>
  </si>
  <si>
    <t>Fecha de término de pago Modalidad 40:</t>
  </si>
  <si>
    <t>Inversión total en Modalidad 40:</t>
  </si>
  <si>
    <t>Asegurada(o):</t>
  </si>
  <si>
    <t>Fecha de baja:</t>
  </si>
  <si>
    <t>S.M.</t>
  </si>
  <si>
    <t>Pensión Mínima</t>
  </si>
  <si>
    <t>Pensión Mínima Garantizada</t>
  </si>
  <si>
    <t>Suma</t>
  </si>
  <si>
    <t>FECHA ALTA</t>
  </si>
  <si>
    <t>FECHA BAJA</t>
  </si>
  <si>
    <t>SALARIO DIARIO</t>
  </si>
  <si>
    <t>S. D. Promedio</t>
  </si>
  <si>
    <t>Diás adicionales:</t>
  </si>
  <si>
    <t>Semanas adicionales:</t>
  </si>
  <si>
    <t>Total semanas cotizadas:</t>
  </si>
  <si>
    <t>Semanas mínimas requeridas:</t>
  </si>
  <si>
    <t>Excedente:</t>
  </si>
  <si>
    <t>Hijos menores de 16 años o menores de 25 años (Estudiando):</t>
  </si>
  <si>
    <t>En adelante</t>
  </si>
  <si>
    <t>Importe total de asignación por padres dependientes:</t>
  </si>
  <si>
    <t>Importe total de asignación por hijos dependientes:</t>
  </si>
  <si>
    <t>Pensión mensual mínima:</t>
  </si>
  <si>
    <t>Costo de Mod. 40</t>
  </si>
  <si>
    <t>Pago de 29 días</t>
  </si>
  <si>
    <t>Fecha Límite de Conservación de Derechos:</t>
  </si>
  <si>
    <t>Fecha Límite para inscribirse en Modalidad 40:</t>
  </si>
  <si>
    <t>S.D. Acumulado</t>
  </si>
  <si>
    <t>CUANTÍA BÁSICA:</t>
  </si>
  <si>
    <t>Incrementos a la cuantía (Después de las primeras 500 semanas):</t>
  </si>
  <si>
    <t>CUANTÍA DE LA PENSIÓN ANUAL POR VEJEZ:</t>
  </si>
  <si>
    <t>Pensión de Cesantía en Edad Avanzada</t>
  </si>
  <si>
    <t>IMPORTE TOTAL DE LA PENSIÓN DE CESANTÍA EN EDAD AVANZADA:</t>
  </si>
  <si>
    <t>IMPORTE MENSUAL DE LA PENSIÓN DE CESANTÍA EN EDAD AVANZADA:</t>
  </si>
  <si>
    <t>AGUINALDO</t>
  </si>
  <si>
    <t>Inversión Anual:</t>
  </si>
  <si>
    <t>Monto anual al fondo de Retiro:</t>
  </si>
  <si>
    <t>Monto total al fondo de Retiro:</t>
  </si>
  <si>
    <t>De su inversión en Modalidad  40 este monto se va  al fondo de retiro de  su afore:</t>
  </si>
  <si>
    <t>Tiempo de recuperación en meses:</t>
  </si>
  <si>
    <t>Salario en Veces UMA</t>
  </si>
  <si>
    <t>Tablas ISR 2023 pagos mensuales</t>
  </si>
  <si>
    <t>Total de semanas cotizadas:</t>
  </si>
  <si>
    <t>Semanas por reintegrar:</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</si>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</sst>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4" formatCode="#,##0.0"/>
    <numFmt numFmtId="165" formatCode="dd\-mmm\-yyyy"/>
    <numFmt numFmtId="166" formatCode="0.000%"/>
    <numFmt numFmtId="167" formatCode="0.000"/>
  </numFmts>
  <fonts count="18" x14ac:knownFonts="1">
    <font>
      <sz val="11"/>
      <color theme="1"/>
      <name val="Calibri"/>
      <family val="2"/>
      <scheme val="minor"/>
    </font>
    <font>
      <sz val="11"/>
      <color theme="1"/>
      <name val="Calibri"/>
      <family val="2"/>
      <scheme val="minor"/>
    </font>
    <font>
      <sz val="11"/>
      <color theme="0"/>
      <name val="Calibri"/>
      <family val="2"/>
      <scheme val="minor"/>
    </font>
    <font>
      <b/>
      <sz val="11"/>
      <color theme="1"/>
      <name val="Calibri"/>
      <family val="2"/>
      <scheme val="minor"/>
    </font>
    <font>
      <sz val="14"/>
      <color rgb="FF000000"/>
      <name val="Roboto"/>
    </font>
    <font>
      <sz val="10"/>
      <name val="Calibri"/>
      <family val="2"/>
      <scheme val="minor"/>
    </font>
    <font>
      <b/>
      <sz val="11"/>
      <color theme="0"/>
      <name val="Calibri"/>
      <family val="2"/>
      <scheme val="minor"/>
    </font>
    <font>
      <b/>
      <sz val="11"/>
      <color rgb="FFC00000"/>
      <name val="Calibri"/>
      <family val="2"/>
      <scheme val="minor"/>
    </font>
    <font>
      <sz val="13"/>
      <color theme="1"/>
      <name val="Calibri"/>
      <family val="2"/>
      <scheme val="minor"/>
    </font>
    <font>
      <b/>
      <sz val="13"/>
      <color theme="1"/>
      <name val="Calibri"/>
      <family val="2"/>
      <scheme val="minor"/>
    </font>
    <font>
      <sz val="11"/>
      <color theme="3"/>
      <name val="Calibri"/>
      <family val="2"/>
      <scheme val="minor"/>
    </font>
    <font>
      <sz val="9"/>
      <color theme="1"/>
      <name val="Calibri"/>
      <family val="2"/>
      <scheme val="minor"/>
    </font>
    <font>
      <b/>
      <sz val="14"/>
      <color theme="0"/>
      <name val="Calibri"/>
      <family val="2"/>
      <scheme val="minor"/>
    </font>
    <font>
      <b/>
      <sz val="18"/>
      <color theme="0"/>
      <name val="Calibri"/>
      <family val="2"/>
      <scheme val="minor"/>
    </font>
    <font>
      <sz val="8"/>
      <name val="Calibri"/>
      <family val="2"/>
      <scheme val="minor"/>
    </font>
    <font>
      <sz val="9"/>
      <color indexed="81"/>
      <name val="Tahoma"/>
      <family val="2"/>
    </font>
    <font>
      <b/>
      <sz val="9"/>
      <color indexed="81"/>
      <name val="Tahoma"/>
      <family val="2"/>
    </font>
    <font>
      <b/>
      <sz val="14"/>
      <color theme="0"/>
      <name val="Roboto"/>
    </font>
  </fonts>
  <fills count="20">
    <fill>
      <patternFill patternType="none"/>
    </fill>
    <fill>
      <patternFill patternType="gray125"/>
    </fill>
    <fill>
      <patternFill patternType="solid">
        <fgColor theme="0"/>
        <bgColor indexed="64"/>
      </patternFill>
    </fill>
    <fill>
      <patternFill patternType="solid">
        <fgColor rgb="FFCCFFCC"/>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8" tint="-0.249977111117893"/>
        <bgColor indexed="64"/>
      </patternFill>
    </fill>
    <fill>
      <patternFill patternType="solid">
        <fgColor rgb="FF00B050"/>
        <bgColor indexed="64"/>
      </patternFill>
    </fill>
    <fill>
      <patternFill patternType="solid">
        <fgColor theme="6" tint="-0.499984740745262"/>
        <bgColor indexed="64"/>
      </patternFill>
    </fill>
    <fill>
      <patternFill patternType="solid">
        <fgColor rgb="FFFFC000"/>
        <bgColor indexed="64"/>
      </patternFill>
    </fill>
    <fill>
      <patternFill patternType="solid">
        <fgColor theme="5"/>
        <bgColor indexed="64"/>
      </patternFill>
    </fill>
    <fill>
      <patternFill patternType="solid">
        <fgColor theme="4"/>
        <bgColor theme="4"/>
      </patternFill>
    </fill>
    <fill>
      <patternFill patternType="solid">
        <fgColor theme="4" tint="0.59999389629810485"/>
        <bgColor indexed="64"/>
      </patternFill>
    </fill>
    <fill>
      <patternFill patternType="solid">
        <fgColor rgb="FFC00000"/>
        <bgColor indexed="64"/>
      </patternFill>
    </fill>
    <fill>
      <patternFill patternType="solid">
        <fgColor theme="7"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rgb="FFFF00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top style="thin">
        <color indexed="64"/>
      </top>
      <bottom style="double">
        <color indexed="64"/>
      </bottom>
      <diagonal/>
    </border>
    <border>
      <left style="medium">
        <color indexed="64"/>
      </left>
      <right style="medium">
        <color indexed="64"/>
      </right>
      <top/>
      <bottom/>
      <diagonal/>
    </border>
    <border>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42">
    <xf numFmtId="0" fontId="0" fillId="0" borderId="0" xfId="0"/>
    <xf numFmtId="44" fontId="0" fillId="0" borderId="0" xfId="1" applyFont="1"/>
    <xf numFmtId="0" fontId="0" fillId="2" borderId="0" xfId="0" applyFill="1"/>
    <xf numFmtId="0" fontId="0" fillId="2" borderId="1" xfId="0" applyFill="1" applyBorder="1"/>
    <xf numFmtId="0" fontId="4" fillId="4" borderId="1" xfId="0" applyFont="1" applyFill="1" applyBorder="1" applyAlignment="1">
      <alignment horizontal="right" vertical="top" wrapText="1"/>
    </xf>
    <xf numFmtId="10" fontId="4" fillId="4" borderId="1" xfId="0" applyNumberFormat="1" applyFont="1" applyFill="1" applyBorder="1" applyAlignment="1">
      <alignment horizontal="right" vertical="top" wrapText="1"/>
    </xf>
    <xf numFmtId="4" fontId="4" fillId="4" borderId="1" xfId="0" applyNumberFormat="1" applyFont="1" applyFill="1" applyBorder="1" applyAlignment="1">
      <alignment horizontal="right" vertical="top" wrapText="1"/>
    </xf>
    <xf numFmtId="10" fontId="5" fillId="2" borderId="1" xfId="0" applyNumberFormat="1" applyFont="1" applyFill="1" applyBorder="1" applyAlignment="1">
      <alignment horizontal="center"/>
    </xf>
    <xf numFmtId="10" fontId="5" fillId="2" borderId="9" xfId="0" applyNumberFormat="1" applyFont="1" applyFill="1" applyBorder="1" applyAlignment="1">
      <alignment horizontal="center"/>
    </xf>
    <xf numFmtId="10" fontId="5" fillId="2" borderId="10" xfId="0" applyNumberFormat="1" applyFont="1" applyFill="1" applyBorder="1" applyAlignment="1">
      <alignment horizontal="center"/>
    </xf>
    <xf numFmtId="44" fontId="0" fillId="2" borderId="1" xfId="1" applyFont="1" applyFill="1" applyBorder="1"/>
    <xf numFmtId="0" fontId="0" fillId="2" borderId="5" xfId="0" applyFill="1" applyBorder="1"/>
    <xf numFmtId="10" fontId="5" fillId="5" borderId="1" xfId="0" applyNumberFormat="1" applyFont="1" applyFill="1" applyBorder="1" applyAlignment="1">
      <alignment horizontal="center"/>
    </xf>
    <xf numFmtId="0" fontId="3" fillId="0" borderId="0" xfId="0" applyFont="1"/>
    <xf numFmtId="0" fontId="3" fillId="0" borderId="0" xfId="0" applyFont="1" applyAlignment="1">
      <alignment horizontal="right"/>
    </xf>
    <xf numFmtId="2" fontId="5" fillId="2" borderId="5" xfId="0" applyNumberFormat="1" applyFont="1" applyFill="1" applyBorder="1" applyAlignment="1">
      <alignment horizontal="center"/>
    </xf>
    <xf numFmtId="2" fontId="5" fillId="2" borderId="1" xfId="0" applyNumberFormat="1" applyFont="1" applyFill="1" applyBorder="1" applyAlignment="1">
      <alignment horizontal="right"/>
    </xf>
    <xf numFmtId="2" fontId="5" fillId="5" borderId="5" xfId="0" applyNumberFormat="1" applyFont="1" applyFill="1" applyBorder="1" applyAlignment="1">
      <alignment horizontal="center"/>
    </xf>
    <xf numFmtId="2" fontId="5" fillId="5" borderId="1" xfId="0" applyNumberFormat="1" applyFont="1" applyFill="1" applyBorder="1" applyAlignment="1">
      <alignment horizontal="right"/>
    </xf>
    <xf numFmtId="2" fontId="5" fillId="2" borderId="7" xfId="0" applyNumberFormat="1" applyFont="1" applyFill="1" applyBorder="1" applyAlignment="1">
      <alignment horizontal="center"/>
    </xf>
    <xf numFmtId="2" fontId="5" fillId="2" borderId="10" xfId="0" applyNumberFormat="1" applyFont="1" applyFill="1" applyBorder="1" applyAlignment="1">
      <alignment horizontal="right"/>
    </xf>
    <xf numFmtId="0" fontId="6" fillId="7" borderId="0" xfId="0" applyFont="1" applyFill="1" applyAlignment="1">
      <alignment horizontal="center"/>
    </xf>
    <xf numFmtId="0" fontId="8" fillId="0" borderId="0" xfId="0" applyFont="1"/>
    <xf numFmtId="0" fontId="9" fillId="0" borderId="0" xfId="0" applyFont="1" applyAlignment="1">
      <alignment horizontal="right"/>
    </xf>
    <xf numFmtId="44" fontId="0" fillId="2" borderId="1" xfId="0" applyNumberFormat="1" applyFill="1" applyBorder="1"/>
    <xf numFmtId="10" fontId="0" fillId="2" borderId="1" xfId="2" applyNumberFormat="1" applyFont="1" applyFill="1" applyBorder="1"/>
    <xf numFmtId="2" fontId="1" fillId="3" borderId="1" xfId="1" applyNumberFormat="1" applyFont="1" applyFill="1" applyBorder="1" applyAlignment="1">
      <alignment horizontal="center" vertical="center"/>
    </xf>
    <xf numFmtId="44" fontId="0" fillId="3" borderId="1" xfId="0" applyNumberFormat="1" applyFill="1" applyBorder="1" applyAlignment="1">
      <alignment horizontal="right"/>
    </xf>
    <xf numFmtId="0" fontId="6" fillId="12" borderId="1" xfId="0" applyFont="1" applyFill="1" applyBorder="1" applyAlignment="1">
      <alignment horizontal="center"/>
    </xf>
    <xf numFmtId="44" fontId="0" fillId="0" borderId="0" xfId="0" applyNumberFormat="1" applyProtection="1">
      <protection hidden="1"/>
    </xf>
    <xf numFmtId="0" fontId="0" fillId="0" borderId="0" xfId="0" applyProtection="1">
      <protection hidden="1"/>
    </xf>
    <xf numFmtId="10" fontId="0" fillId="0" borderId="0" xfId="0" applyNumberFormat="1" applyProtection="1">
      <protection hidden="1"/>
    </xf>
    <xf numFmtId="44" fontId="3" fillId="0" borderId="17" xfId="0" applyNumberFormat="1" applyFont="1" applyBorder="1" applyProtection="1">
      <protection hidden="1"/>
    </xf>
    <xf numFmtId="2" fontId="0" fillId="0" borderId="0" xfId="0" applyNumberFormat="1" applyProtection="1">
      <protection hidden="1"/>
    </xf>
    <xf numFmtId="44" fontId="6" fillId="8" borderId="17" xfId="0" applyNumberFormat="1" applyFont="1" applyFill="1" applyBorder="1" applyProtection="1">
      <protection hidden="1"/>
    </xf>
    <xf numFmtId="9" fontId="0" fillId="0" borderId="0" xfId="0" applyNumberFormat="1" applyProtection="1">
      <protection hidden="1"/>
    </xf>
    <xf numFmtId="1" fontId="0" fillId="0" borderId="0" xfId="0" applyNumberFormat="1" applyProtection="1">
      <protection hidden="1"/>
    </xf>
    <xf numFmtId="9" fontId="0" fillId="0" borderId="0" xfId="2" applyFont="1" applyProtection="1">
      <protection hidden="1"/>
    </xf>
    <xf numFmtId="44" fontId="7" fillId="10" borderId="0" xfId="0" applyNumberFormat="1" applyFont="1" applyFill="1" applyProtection="1">
      <protection hidden="1"/>
    </xf>
    <xf numFmtId="44" fontId="6" fillId="11" borderId="0" xfId="0" applyNumberFormat="1" applyFont="1" applyFill="1" applyProtection="1">
      <protection hidden="1"/>
    </xf>
    <xf numFmtId="0" fontId="3" fillId="0" borderId="0" xfId="0" applyFont="1" applyAlignment="1" applyProtection="1">
      <alignment horizontal="right"/>
      <protection hidden="1"/>
    </xf>
    <xf numFmtId="165" fontId="0" fillId="0" borderId="0" xfId="0" applyNumberFormat="1" applyProtection="1">
      <protection hidden="1"/>
    </xf>
    <xf numFmtId="0" fontId="0" fillId="6" borderId="0" xfId="0" applyFill="1" applyProtection="1">
      <protection locked="0" hidden="1"/>
    </xf>
    <xf numFmtId="0" fontId="0" fillId="6" borderId="0" xfId="0" applyFill="1" applyAlignment="1" applyProtection="1">
      <alignment horizontal="center"/>
      <protection locked="0" hidden="1"/>
    </xf>
    <xf numFmtId="165" fontId="0" fillId="6" borderId="0" xfId="0" applyNumberFormat="1" applyFill="1" applyProtection="1">
      <protection locked="0" hidden="1"/>
    </xf>
    <xf numFmtId="0" fontId="6" fillId="0" borderId="0" xfId="0" applyFont="1" applyProtection="1">
      <protection hidden="1"/>
    </xf>
    <xf numFmtId="14" fontId="0" fillId="0" borderId="0" xfId="0" applyNumberFormat="1" applyProtection="1">
      <protection hidden="1"/>
    </xf>
    <xf numFmtId="0" fontId="13" fillId="14" borderId="0" xfId="0" applyFont="1" applyFill="1" applyAlignment="1" applyProtection="1">
      <alignment wrapText="1"/>
      <protection hidden="1"/>
    </xf>
    <xf numFmtId="0" fontId="6" fillId="14" borderId="0" xfId="0" applyFont="1" applyFill="1" applyAlignment="1" applyProtection="1">
      <alignment horizontal="center" wrapText="1"/>
      <protection hidden="1"/>
    </xf>
    <xf numFmtId="0" fontId="0" fillId="0" borderId="1" xfId="0" applyBorder="1" applyAlignment="1" applyProtection="1">
      <alignment horizontal="center"/>
      <protection hidden="1"/>
    </xf>
    <xf numFmtId="44" fontId="0" fillId="0" borderId="1" xfId="0" applyNumberFormat="1" applyBorder="1" applyProtection="1">
      <protection hidden="1"/>
    </xf>
    <xf numFmtId="0" fontId="3" fillId="0" borderId="0" xfId="0" applyFont="1" applyProtection="1">
      <protection hidden="1"/>
    </xf>
    <xf numFmtId="44" fontId="3" fillId="0" borderId="0" xfId="0" applyNumberFormat="1" applyFont="1" applyProtection="1">
      <protection hidden="1"/>
    </xf>
    <xf numFmtId="44" fontId="12" fillId="0" borderId="0" xfId="0" applyNumberFormat="1" applyFont="1" applyProtection="1">
      <protection hidden="1"/>
    </xf>
    <xf numFmtId="2" fontId="12" fillId="0" borderId="0" xfId="0" applyNumberFormat="1" applyFont="1" applyProtection="1">
      <protection hidden="1"/>
    </xf>
    <xf numFmtId="1" fontId="3" fillId="0" borderId="0" xfId="0" applyNumberFormat="1" applyFont="1" applyProtection="1">
      <protection hidden="1"/>
    </xf>
    <xf numFmtId="0" fontId="0" fillId="6" borderId="1" xfId="0" applyFill="1" applyBorder="1" applyAlignment="1" applyProtection="1">
      <alignment horizontal="center"/>
      <protection locked="0" hidden="1"/>
    </xf>
    <xf numFmtId="44" fontId="6" fillId="14" borderId="0" xfId="0" applyNumberFormat="1" applyFont="1" applyFill="1" applyAlignment="1" applyProtection="1">
      <alignment horizontal="center" wrapText="1"/>
      <protection locked="0" hidden="1"/>
    </xf>
    <xf numFmtId="2" fontId="0" fillId="0" borderId="2" xfId="0" applyNumberFormat="1" applyBorder="1" applyAlignment="1" applyProtection="1">
      <alignment horizontal="center"/>
      <protection hidden="1"/>
    </xf>
    <xf numFmtId="44" fontId="1" fillId="0" borderId="2" xfId="1" applyFont="1" applyFill="1" applyBorder="1" applyProtection="1">
      <protection hidden="1"/>
    </xf>
    <xf numFmtId="2" fontId="1" fillId="0" borderId="1" xfId="1" applyNumberFormat="1" applyFont="1" applyFill="1" applyBorder="1" applyAlignment="1" applyProtection="1">
      <alignment horizontal="center" vertical="center"/>
      <protection hidden="1"/>
    </xf>
    <xf numFmtId="0" fontId="3" fillId="13" borderId="14" xfId="0" applyFont="1" applyFill="1" applyBorder="1" applyProtection="1">
      <protection hidden="1"/>
    </xf>
    <xf numFmtId="0" fontId="3" fillId="13" borderId="15" xfId="0" applyFont="1" applyFill="1" applyBorder="1" applyProtection="1">
      <protection hidden="1"/>
    </xf>
    <xf numFmtId="2" fontId="3" fillId="13" borderId="15" xfId="1" applyNumberFormat="1" applyFont="1" applyFill="1" applyBorder="1" applyAlignment="1" applyProtection="1">
      <alignment horizontal="center"/>
      <protection hidden="1"/>
    </xf>
    <xf numFmtId="44" fontId="3" fillId="13" borderId="16" xfId="1" applyFont="1" applyFill="1" applyBorder="1" applyProtection="1">
      <protection hidden="1"/>
    </xf>
    <xf numFmtId="44" fontId="3" fillId="13" borderId="18" xfId="1" applyFont="1" applyFill="1" applyBorder="1" applyProtection="1">
      <protection hidden="1"/>
    </xf>
    <xf numFmtId="0" fontId="0" fillId="2" borderId="0" xfId="0" applyFill="1" applyProtection="1">
      <protection hidden="1"/>
    </xf>
    <xf numFmtId="2" fontId="0" fillId="2" borderId="0" xfId="0" applyNumberFormat="1" applyFill="1" applyProtection="1">
      <protection hidden="1"/>
    </xf>
    <xf numFmtId="1" fontId="0" fillId="2" borderId="0" xfId="0" applyNumberFormat="1" applyFill="1" applyProtection="1">
      <protection hidden="1"/>
    </xf>
    <xf numFmtId="44" fontId="3" fillId="0" borderId="1" xfId="1" applyFont="1" applyBorder="1" applyProtection="1">
      <protection hidden="1"/>
    </xf>
    <xf numFmtId="14" fontId="0" fillId="6" borderId="1" xfId="0" applyNumberFormat="1" applyFill="1" applyBorder="1" applyAlignment="1" applyProtection="1">
      <alignment vertical="center"/>
      <protection locked="0" hidden="1"/>
    </xf>
    <xf numFmtId="2" fontId="6" fillId="11" borderId="0" xfId="0" applyNumberFormat="1" applyFont="1" applyFill="1" applyProtection="1">
      <protection hidden="1"/>
    </xf>
    <xf numFmtId="2" fontId="6" fillId="0" borderId="0" xfId="0" applyNumberFormat="1" applyFont="1" applyProtection="1">
      <protection hidden="1"/>
    </xf>
    <xf numFmtId="14" fontId="0" fillId="6" borderId="1" xfId="0" applyNumberFormat="1" applyFill="1" applyBorder="1" applyProtection="1">
      <protection locked="0"/>
    </xf>
    <xf numFmtId="44" fontId="0" fillId="6" borderId="1" xfId="0" applyNumberFormat="1" applyFill="1" applyBorder="1" applyProtection="1">
      <protection locked="0" hidden="1"/>
    </xf>
    <xf numFmtId="0" fontId="0" fillId="2" borderId="3" xfId="0" applyFill="1" applyBorder="1" applyAlignment="1">
      <alignment horizontal="center"/>
    </xf>
    <xf numFmtId="9" fontId="0" fillId="2" borderId="4" xfId="0" applyNumberFormat="1" applyFill="1" applyBorder="1" applyAlignment="1">
      <alignment horizontal="center"/>
    </xf>
    <xf numFmtId="0" fontId="0" fillId="2" borderId="5" xfId="0" applyFill="1" applyBorder="1" applyAlignment="1">
      <alignment horizontal="center"/>
    </xf>
    <xf numFmtId="9" fontId="0" fillId="2" borderId="6" xfId="0" applyNumberFormat="1" applyFill="1" applyBorder="1" applyAlignment="1">
      <alignment horizontal="center"/>
    </xf>
    <xf numFmtId="0" fontId="0" fillId="2" borderId="7" xfId="0" applyFill="1" applyBorder="1" applyAlignment="1">
      <alignment horizontal="center"/>
    </xf>
    <xf numFmtId="9" fontId="0" fillId="2" borderId="8" xfId="0" applyNumberFormat="1" applyFill="1" applyBorder="1" applyAlignment="1">
      <alignment horizontal="center"/>
    </xf>
    <xf numFmtId="0" fontId="0" fillId="2" borderId="3" xfId="0" applyFill="1" applyBorder="1"/>
    <xf numFmtId="44" fontId="0" fillId="2" borderId="9" xfId="0" applyNumberFormat="1" applyFill="1" applyBorder="1"/>
    <xf numFmtId="44" fontId="0" fillId="2" borderId="4" xfId="0" applyNumberFormat="1" applyFill="1" applyBorder="1"/>
    <xf numFmtId="44" fontId="0" fillId="2" borderId="6" xfId="0" applyNumberFormat="1" applyFill="1" applyBorder="1"/>
    <xf numFmtId="0" fontId="0" fillId="2" borderId="0" xfId="0" applyFill="1" applyAlignment="1">
      <alignment horizontal="right"/>
    </xf>
    <xf numFmtId="2" fontId="4" fillId="4" borderId="1" xfId="0" applyNumberFormat="1" applyFont="1" applyFill="1" applyBorder="1" applyAlignment="1">
      <alignment horizontal="right" vertical="top" wrapText="1"/>
    </xf>
    <xf numFmtId="0" fontId="2" fillId="0" borderId="0" xfId="0" applyFont="1" applyProtection="1">
      <protection hidden="1"/>
    </xf>
    <xf numFmtId="0" fontId="6" fillId="7" borderId="0" xfId="0" applyFont="1" applyFill="1" applyAlignment="1" applyProtection="1">
      <alignment horizontal="center" wrapText="1"/>
      <protection hidden="1"/>
    </xf>
    <xf numFmtId="44" fontId="0" fillId="6" borderId="1" xfId="0" applyNumberFormat="1" applyFill="1" applyBorder="1" applyProtection="1">
      <protection hidden="1"/>
    </xf>
    <xf numFmtId="166" fontId="6" fillId="14" borderId="0" xfId="0" applyNumberFormat="1" applyFont="1" applyFill="1" applyAlignment="1" applyProtection="1">
      <alignment horizontal="center" wrapText="1"/>
      <protection hidden="1"/>
    </xf>
    <xf numFmtId="10" fontId="2" fillId="0" borderId="0" xfId="0" applyNumberFormat="1" applyFont="1" applyProtection="1">
      <protection hidden="1"/>
    </xf>
    <xf numFmtId="0" fontId="2" fillId="0" borderId="19" xfId="0" applyFont="1" applyBorder="1" applyAlignment="1" applyProtection="1">
      <alignment horizontal="center"/>
      <protection locked="0" hidden="1"/>
    </xf>
    <xf numFmtId="165" fontId="6" fillId="8" borderId="0" xfId="0" applyNumberFormat="1" applyFont="1" applyFill="1" applyAlignment="1" applyProtection="1">
      <alignment horizontal="center"/>
      <protection hidden="1"/>
    </xf>
    <xf numFmtId="44" fontId="3" fillId="6" borderId="17" xfId="0" applyNumberFormat="1" applyFont="1" applyFill="1" applyBorder="1" applyProtection="1">
      <protection locked="0" hidden="1"/>
    </xf>
    <xf numFmtId="44" fontId="0" fillId="6" borderId="0" xfId="0" applyNumberFormat="1" applyFill="1" applyProtection="1">
      <protection locked="0"/>
    </xf>
    <xf numFmtId="1" fontId="0" fillId="0" borderId="2" xfId="0" applyNumberFormat="1" applyBorder="1" applyAlignment="1" applyProtection="1">
      <alignment horizontal="center"/>
      <protection hidden="1"/>
    </xf>
    <xf numFmtId="1" fontId="0" fillId="0" borderId="1" xfId="0" applyNumberFormat="1" applyBorder="1" applyAlignment="1" applyProtection="1">
      <alignment horizontal="center"/>
      <protection hidden="1"/>
    </xf>
    <xf numFmtId="1" fontId="3" fillId="13" borderId="15" xfId="1" applyNumberFormat="1" applyFont="1" applyFill="1" applyBorder="1" applyAlignment="1" applyProtection="1">
      <alignment horizontal="center"/>
      <protection hidden="1"/>
    </xf>
    <xf numFmtId="44" fontId="6" fillId="16" borderId="17" xfId="0" applyNumberFormat="1" applyFont="1" applyFill="1" applyBorder="1" applyProtection="1">
      <protection hidden="1"/>
    </xf>
    <xf numFmtId="44" fontId="6" fillId="9" borderId="17" xfId="0" applyNumberFormat="1" applyFont="1" applyFill="1" applyBorder="1" applyProtection="1">
      <protection hidden="1"/>
    </xf>
    <xf numFmtId="44" fontId="3" fillId="0" borderId="19" xfId="0" applyNumberFormat="1" applyFont="1" applyBorder="1" applyProtection="1">
      <protection hidden="1"/>
    </xf>
    <xf numFmtId="44" fontId="6" fillId="2" borderId="19" xfId="0" applyNumberFormat="1" applyFont="1" applyFill="1" applyBorder="1" applyProtection="1">
      <protection locked="0" hidden="1"/>
    </xf>
    <xf numFmtId="44" fontId="6" fillId="0" borderId="19" xfId="0" applyNumberFormat="1" applyFont="1" applyBorder="1" applyProtection="1">
      <protection locked="0" hidden="1"/>
    </xf>
    <xf numFmtId="1" fontId="3" fillId="0" borderId="17" xfId="0" applyNumberFormat="1" applyFont="1" applyBorder="1" applyProtection="1">
      <protection hidden="1"/>
    </xf>
    <xf numFmtId="44" fontId="0" fillId="13" borderId="18" xfId="1" applyFont="1" applyFill="1" applyBorder="1"/>
    <xf numFmtId="15" fontId="0" fillId="15" borderId="0" xfId="0" applyNumberFormat="1" applyFill="1" applyProtection="1">
      <protection locked="0"/>
    </xf>
    <xf numFmtId="2" fontId="5" fillId="2" borderId="20" xfId="0" applyNumberFormat="1" applyFont="1" applyFill="1" applyBorder="1" applyAlignment="1">
      <alignment horizontal="center"/>
    </xf>
    <xf numFmtId="2" fontId="5" fillId="2" borderId="21" xfId="0" applyNumberFormat="1" applyFont="1" applyFill="1" applyBorder="1" applyAlignment="1">
      <alignment horizontal="right"/>
    </xf>
    <xf numFmtId="0" fontId="4" fillId="18" borderId="1" xfId="0" applyFont="1" applyFill="1" applyBorder="1" applyAlignment="1">
      <alignment horizontal="right" vertical="top" wrapText="1"/>
    </xf>
    <xf numFmtId="4" fontId="4" fillId="18" borderId="1" xfId="0" applyNumberFormat="1" applyFont="1" applyFill="1" applyBorder="1" applyAlignment="1">
      <alignment horizontal="right" vertical="top" wrapText="1"/>
    </xf>
    <xf numFmtId="10" fontId="4" fillId="18" borderId="1" xfId="0" applyNumberFormat="1" applyFont="1" applyFill="1" applyBorder="1" applyAlignment="1">
      <alignment horizontal="right" vertical="top" wrapText="1"/>
    </xf>
    <xf numFmtId="0" fontId="6" fillId="8" borderId="1" xfId="0" applyFont="1" applyFill="1" applyBorder="1"/>
    <xf numFmtId="44" fontId="6" fillId="8" borderId="1" xfId="1" applyFont="1" applyFill="1" applyBorder="1"/>
    <xf numFmtId="0" fontId="6" fillId="19" borderId="1" xfId="0" applyFont="1" applyFill="1" applyBorder="1"/>
    <xf numFmtId="44" fontId="6" fillId="19" borderId="1" xfId="1" applyFont="1" applyFill="1" applyBorder="1"/>
    <xf numFmtId="167" fontId="0" fillId="0" borderId="0" xfId="0" applyNumberFormat="1" applyProtection="1">
      <protection hidden="1"/>
    </xf>
    <xf numFmtId="0" fontId="11" fillId="2" borderId="3" xfId="0" applyFont="1" applyFill="1" applyBorder="1"/>
    <xf numFmtId="0" fontId="11" fillId="2" borderId="4" xfId="0" applyFont="1" applyFill="1" applyBorder="1"/>
    <xf numFmtId="0" fontId="11" fillId="2" borderId="5" xfId="0" applyFont="1" applyFill="1" applyBorder="1"/>
    <xf numFmtId="0" fontId="11" fillId="2" borderId="6" xfId="0" applyFont="1" applyFill="1" applyBorder="1"/>
    <xf numFmtId="0" fontId="11" fillId="2" borderId="7" xfId="0" applyFont="1" applyFill="1" applyBorder="1"/>
    <xf numFmtId="0" fontId="11" fillId="2" borderId="8" xfId="0" applyFont="1" applyFill="1" applyBorder="1"/>
    <xf numFmtId="166" fontId="5" fillId="2" borderId="4" xfId="0" applyNumberFormat="1" applyFont="1" applyFill="1" applyBorder="1" applyAlignment="1">
      <alignment horizontal="center"/>
    </xf>
    <xf numFmtId="166" fontId="5" fillId="2" borderId="6" xfId="0" applyNumberFormat="1" applyFont="1" applyFill="1" applyBorder="1" applyAlignment="1">
      <alignment horizontal="center"/>
    </xf>
    <xf numFmtId="166" fontId="5" fillId="5" borderId="6" xfId="0" applyNumberFormat="1" applyFont="1" applyFill="1" applyBorder="1" applyAlignment="1">
      <alignment horizontal="center"/>
    </xf>
    <xf numFmtId="166" fontId="5" fillId="2" borderId="8" xfId="0" applyNumberFormat="1" applyFont="1" applyFill="1" applyBorder="1" applyAlignment="1">
      <alignment horizontal="center"/>
    </xf>
    <xf numFmtId="3" fontId="10" fillId="0" borderId="0" xfId="0" applyNumberFormat="1" applyFont="1"/>
    <xf numFmtId="164" fontId="10" fillId="0" borderId="0" xfId="0" applyNumberFormat="1" applyFont="1"/>
    <xf numFmtId="4" fontId="10" fillId="0" borderId="0" xfId="0" applyNumberFormat="1" applyFont="1"/>
    <xf numFmtId="0" fontId="0" fillId="2" borderId="20" xfId="0" applyFill="1" applyBorder="1"/>
    <xf numFmtId="44" fontId="0" fillId="2" borderId="21" xfId="0" applyNumberFormat="1" applyFill="1" applyBorder="1"/>
    <xf numFmtId="44" fontId="0" fillId="2" borderId="22" xfId="0" applyNumberFormat="1" applyFill="1" applyBorder="1"/>
    <xf numFmtId="44" fontId="6" fillId="0" borderId="0" xfId="0" applyNumberFormat="1" applyFont="1" applyProtection="1">
      <protection hidden="1"/>
    </xf>
    <xf numFmtId="44" fontId="6" fillId="2" borderId="0" xfId="0" applyNumberFormat="1" applyFont="1" applyFill="1" applyProtection="1">
      <protection hidden="1"/>
    </xf>
    <xf numFmtId="0" fontId="0" fillId="15" borderId="0" xfId="0" applyFill="1" applyAlignment="1" applyProtection="1">
      <alignment horizontal="center"/>
      <protection locked="0" hidden="1"/>
    </xf>
    <xf numFmtId="0" fontId="0" fillId="15" borderId="0" xfId="0" quotePrefix="1" applyFill="1" applyAlignment="1" applyProtection="1">
      <alignment horizontal="center"/>
      <protection locked="0" hidden="1"/>
    </xf>
    <xf numFmtId="0" fontId="17" fillId="17" borderId="11" xfId="0" applyFont="1" applyFill="1" applyBorder="1" applyAlignment="1">
      <alignment horizontal="center" vertical="top" wrapText="1"/>
    </xf>
    <xf numFmtId="0" fontId="17" fillId="17" borderId="12" xfId="0" applyFont="1" applyFill="1" applyBorder="1" applyAlignment="1">
      <alignment horizontal="center" vertical="top" wrapText="1"/>
    </xf>
    <xf numFmtId="0" fontId="17" fillId="17" borderId="13" xfId="0" applyFont="1" applyFill="1" applyBorder="1" applyAlignment="1">
      <alignment horizontal="center" vertical="top" wrapText="1"/>
    </xf>
    <xf numFmtId="0" fontId="17" fillId="17" borderId="1" xfId="0" applyFont="1" applyFill="1" applyBorder="1" applyAlignment="1">
      <alignment horizontal="center" vertical="top" wrapText="1"/>
    </xf>
    <xf numFmtId="0" fontId="6" fillId="7" borderId="0" xfId="0" applyFont="1" applyFill="1" applyAlignment="1">
      <alignment horizontal="center"/>
    </xf>
  </cellXfs>
  <cellStyles count="3">
    <cellStyle name="Moneda" xfId="1" builtinId="4"/>
    <cellStyle name="Normal" xfId="0" builtinId="0"/>
    <cellStyle name="Porcentaje" xfId="2" builtinId="5"/>
  </cellStyles>
  <dxfs count="5">
    <dxf>
      <numFmt numFmtId="34" formatCode="_-&quot;$&quot;* #,##0.00_-;\-&quot;$&quot;* #,##0.00_-;_-&quot;$&quot;* &quot;-&quot;??_-;_-@_-"/>
      <fill>
        <patternFill patternType="solid">
          <fgColor indexed="64"/>
          <bgColor theme="0"/>
        </patternFill>
      </fill>
      <border diagonalUp="0" diagonalDown="0">
        <left style="thin">
          <color indexed="64"/>
        </left>
        <right style="medium">
          <color indexed="64"/>
        </right>
        <top style="thin">
          <color indexed="64"/>
        </top>
        <bottom style="thin">
          <color indexed="64"/>
        </bottom>
        <vertical/>
        <horizontal/>
      </border>
    </dxf>
    <dxf>
      <numFmt numFmtId="34" formatCode="_-&quot;$&quot;* #,##0.00_-;\-&quot;$&quot;* #,##0.00_-;_-&quot;$&quot;* &quot;-&quot;??_-;_-@_-"/>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border diagonalUp="0" diagonalDown="0">
        <left style="medium">
          <color indexed="64"/>
        </left>
        <right style="thin">
          <color indexed="64"/>
        </right>
        <top style="thin">
          <color indexed="64"/>
        </top>
        <bottom style="thin">
          <color indexed="64"/>
        </bottom>
        <vertical/>
        <horizontal/>
      </border>
    </dxf>
    <dxf>
      <border outline="0">
        <bottom style="medium">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bottom" textRotation="0" wrapText="0" indent="0" justifyLastLine="0" shrinkToFit="0" readingOrder="0"/>
    </dxf>
  </dxfs>
  <tableStyles count="0" defaultTableStyle="TableStyleMedium9" defaultPivotStyle="PivotStyleLight16"/>
  <colors>
    <mruColors>
      <color rgb="FFFF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TblDePagosMod40!$CQ$3</c:f>
              <c:strCache>
                <c:ptCount val="1"/>
                <c:pt idx="0">
                  <c:v>18.80%</c:v>
                </c:pt>
              </c:strCache>
            </c:strRef>
          </c:tx>
          <c:spPr>
            <a:solidFill>
              <a:schemeClr val="accent1"/>
            </a:solidFill>
            <a:ln>
              <a:noFill/>
            </a:ln>
            <a:effectLst/>
          </c:spPr>
          <c:invertIfNegative val="0"/>
          <c:cat>
            <c:multiLvlStrRef>
              <c:f>TblDePagosMod40!$CO$4:$CP$29</c:f>
              <c:multiLvlStrCache>
                <c:ptCount val="26"/>
                <c:lvl>
                  <c:pt idx="0">
                    <c:v>Valor de la UMA</c:v>
                  </c:pt>
                  <c:pt idx="1">
                    <c:v> $-   </c:v>
                  </c:pt>
                  <c:pt idx="2">
                    <c:v> $-   </c:v>
                  </c:pt>
                  <c:pt idx="3">
                    <c:v> $-   </c:v>
                  </c:pt>
                  <c:pt idx="4">
                    <c:v> $-   </c:v>
                  </c:pt>
                  <c:pt idx="5">
                    <c:v> $-   </c:v>
                  </c:pt>
                  <c:pt idx="6">
                    <c:v> $-   </c:v>
                  </c:pt>
                  <c:pt idx="7">
                    <c:v> $-   </c:v>
                  </c:pt>
                  <c:pt idx="8">
                    <c:v> $-   </c:v>
                  </c:pt>
                  <c:pt idx="9">
                    <c:v> $-   </c:v>
                  </c:pt>
                  <c:pt idx="10">
                    <c:v> $-   </c:v>
                  </c:pt>
                  <c:pt idx="11">
                    <c:v> $-   </c:v>
                  </c:pt>
                  <c:pt idx="12">
                    <c:v> $-   </c:v>
                  </c:pt>
                  <c:pt idx="13">
                    <c:v> $-   </c:v>
                  </c:pt>
                  <c:pt idx="14">
                    <c:v> $-   </c:v>
                  </c:pt>
                  <c:pt idx="15">
                    <c:v> $-   </c:v>
                  </c:pt>
                  <c:pt idx="16">
                    <c:v> $-   </c:v>
                  </c:pt>
                  <c:pt idx="17">
                    <c:v> $-   </c:v>
                  </c:pt>
                  <c:pt idx="18">
                    <c:v> $-   </c:v>
                  </c:pt>
                  <c:pt idx="19">
                    <c:v> $-   </c:v>
                  </c:pt>
                  <c:pt idx="20">
                    <c:v> $-   </c:v>
                  </c:pt>
                  <c:pt idx="21">
                    <c:v> $-   </c:v>
                  </c:pt>
                  <c:pt idx="22">
                    <c:v> $-   </c:v>
                  </c:pt>
                  <c:pt idx="23">
                    <c:v> $-   </c:v>
                  </c:pt>
                  <c:pt idx="24">
                    <c:v> $-   </c:v>
                  </c:pt>
                  <c:pt idx="25">
                    <c:v> $-   </c:v>
                  </c:pt>
                </c:lvl>
                <c:lvl>
                  <c:pt idx="0">
                    <c:v>Cantidad de UMAs</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lvl>
              </c:multiLvlStrCache>
            </c:multiLvlStrRef>
          </c:cat>
          <c:val>
            <c:numRef>
              <c:f>TblDePagosMod40!$CQ$4:$CQ$29</c:f>
              <c:numCache>
                <c:formatCode>_("$"* #,##0.00_);_("$"* \(#,##0.00\);_("$"* "-"??_);_(@_)</c:formatCode>
                <c:ptCount val="26"/>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4E70-4482-921E-516C744CD1C3}"/>
            </c:ext>
          </c:extLst>
        </c:ser>
        <c:ser>
          <c:idx val="1"/>
          <c:order val="1"/>
          <c:tx>
            <c:strRef>
              <c:f>TblDePagosMod40!$CR$3</c:f>
              <c:strCache>
                <c:ptCount val="1"/>
              </c:strCache>
            </c:strRef>
          </c:tx>
          <c:spPr>
            <a:solidFill>
              <a:schemeClr val="accent2"/>
            </a:solidFill>
            <a:ln>
              <a:noFill/>
            </a:ln>
            <a:effectLst/>
          </c:spPr>
          <c:invertIfNegative val="0"/>
          <c:cat>
            <c:multiLvlStrRef>
              <c:f>TblDePagosMod40!$CO$4:$CP$29</c:f>
              <c:multiLvlStrCache>
                <c:ptCount val="26"/>
                <c:lvl>
                  <c:pt idx="0">
                    <c:v>Valor de la UMA</c:v>
                  </c:pt>
                  <c:pt idx="1">
                    <c:v> $-   </c:v>
                  </c:pt>
                  <c:pt idx="2">
                    <c:v> $-   </c:v>
                  </c:pt>
                  <c:pt idx="3">
                    <c:v> $-   </c:v>
                  </c:pt>
                  <c:pt idx="4">
                    <c:v> $-   </c:v>
                  </c:pt>
                  <c:pt idx="5">
                    <c:v> $-   </c:v>
                  </c:pt>
                  <c:pt idx="6">
                    <c:v> $-   </c:v>
                  </c:pt>
                  <c:pt idx="7">
                    <c:v> $-   </c:v>
                  </c:pt>
                  <c:pt idx="8">
                    <c:v> $-   </c:v>
                  </c:pt>
                  <c:pt idx="9">
                    <c:v> $-   </c:v>
                  </c:pt>
                  <c:pt idx="10">
                    <c:v> $-   </c:v>
                  </c:pt>
                  <c:pt idx="11">
                    <c:v> $-   </c:v>
                  </c:pt>
                  <c:pt idx="12">
                    <c:v> $-   </c:v>
                  </c:pt>
                  <c:pt idx="13">
                    <c:v> $-   </c:v>
                  </c:pt>
                  <c:pt idx="14">
                    <c:v> $-   </c:v>
                  </c:pt>
                  <c:pt idx="15">
                    <c:v> $-   </c:v>
                  </c:pt>
                  <c:pt idx="16">
                    <c:v> $-   </c:v>
                  </c:pt>
                  <c:pt idx="17">
                    <c:v> $-   </c:v>
                  </c:pt>
                  <c:pt idx="18">
                    <c:v> $-   </c:v>
                  </c:pt>
                  <c:pt idx="19">
                    <c:v> $-   </c:v>
                  </c:pt>
                  <c:pt idx="20">
                    <c:v> $-   </c:v>
                  </c:pt>
                  <c:pt idx="21">
                    <c:v> $-   </c:v>
                  </c:pt>
                  <c:pt idx="22">
                    <c:v> $-   </c:v>
                  </c:pt>
                  <c:pt idx="23">
                    <c:v> $-   </c:v>
                  </c:pt>
                  <c:pt idx="24">
                    <c:v> $-   </c:v>
                  </c:pt>
                  <c:pt idx="25">
                    <c:v> $-   </c:v>
                  </c:pt>
                </c:lvl>
                <c:lvl>
                  <c:pt idx="0">
                    <c:v>Cantidad de UMAs</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lvl>
              </c:multiLvlStrCache>
            </c:multiLvlStrRef>
          </c:cat>
          <c:val>
            <c:numRef>
              <c:f>TblDePagosMod40!$CR$4:$CR$29</c:f>
              <c:numCache>
                <c:formatCode>_("$"* #,##0.00_);_("$"* \(#,##0.00\);_("$"* "-"??_);_(@_)</c:formatCode>
                <c:ptCount val="26"/>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1-4E70-4482-921E-516C744CD1C3}"/>
            </c:ext>
          </c:extLst>
        </c:ser>
        <c:ser>
          <c:idx val="2"/>
          <c:order val="2"/>
          <c:tx>
            <c:strRef>
              <c:f>TblDePagosMod40!$CS$3</c:f>
              <c:strCache>
                <c:ptCount val="1"/>
              </c:strCache>
            </c:strRef>
          </c:tx>
          <c:spPr>
            <a:solidFill>
              <a:schemeClr val="accent3"/>
            </a:solidFill>
            <a:ln>
              <a:noFill/>
            </a:ln>
            <a:effectLst/>
          </c:spPr>
          <c:invertIfNegative val="0"/>
          <c:cat>
            <c:multiLvlStrRef>
              <c:f>TblDePagosMod40!$CO$4:$CP$29</c:f>
              <c:multiLvlStrCache>
                <c:ptCount val="26"/>
                <c:lvl>
                  <c:pt idx="0">
                    <c:v>Valor de la UMA</c:v>
                  </c:pt>
                  <c:pt idx="1">
                    <c:v> $-   </c:v>
                  </c:pt>
                  <c:pt idx="2">
                    <c:v> $-   </c:v>
                  </c:pt>
                  <c:pt idx="3">
                    <c:v> $-   </c:v>
                  </c:pt>
                  <c:pt idx="4">
                    <c:v> $-   </c:v>
                  </c:pt>
                  <c:pt idx="5">
                    <c:v> $-   </c:v>
                  </c:pt>
                  <c:pt idx="6">
                    <c:v> $-   </c:v>
                  </c:pt>
                  <c:pt idx="7">
                    <c:v> $-   </c:v>
                  </c:pt>
                  <c:pt idx="8">
                    <c:v> $-   </c:v>
                  </c:pt>
                  <c:pt idx="9">
                    <c:v> $-   </c:v>
                  </c:pt>
                  <c:pt idx="10">
                    <c:v> $-   </c:v>
                  </c:pt>
                  <c:pt idx="11">
                    <c:v> $-   </c:v>
                  </c:pt>
                  <c:pt idx="12">
                    <c:v> $-   </c:v>
                  </c:pt>
                  <c:pt idx="13">
                    <c:v> $-   </c:v>
                  </c:pt>
                  <c:pt idx="14">
                    <c:v> $-   </c:v>
                  </c:pt>
                  <c:pt idx="15">
                    <c:v> $-   </c:v>
                  </c:pt>
                  <c:pt idx="16">
                    <c:v> $-   </c:v>
                  </c:pt>
                  <c:pt idx="17">
                    <c:v> $-   </c:v>
                  </c:pt>
                  <c:pt idx="18">
                    <c:v> $-   </c:v>
                  </c:pt>
                  <c:pt idx="19">
                    <c:v> $-   </c:v>
                  </c:pt>
                  <c:pt idx="20">
                    <c:v> $-   </c:v>
                  </c:pt>
                  <c:pt idx="21">
                    <c:v> $-   </c:v>
                  </c:pt>
                  <c:pt idx="22">
                    <c:v> $-   </c:v>
                  </c:pt>
                  <c:pt idx="23">
                    <c:v> $-   </c:v>
                  </c:pt>
                  <c:pt idx="24">
                    <c:v> $-   </c:v>
                  </c:pt>
                  <c:pt idx="25">
                    <c:v> $-   </c:v>
                  </c:pt>
                </c:lvl>
                <c:lvl>
                  <c:pt idx="0">
                    <c:v>Cantidad de UMAs</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lvl>
              </c:multiLvlStrCache>
            </c:multiLvlStrRef>
          </c:cat>
          <c:val>
            <c:numRef>
              <c:f>TblDePagosMod40!$CS$4:$CS$29</c:f>
              <c:numCache>
                <c:formatCode>_("$"* #,##0.00_);_("$"* \(#,##0.00\);_("$"* "-"??_);_(@_)</c:formatCode>
                <c:ptCount val="26"/>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2-4E70-4482-921E-516C744CD1C3}"/>
            </c:ext>
          </c:extLst>
        </c:ser>
        <c:ser>
          <c:idx val="3"/>
          <c:order val="3"/>
          <c:tx>
            <c:strRef>
              <c:f>TblDePagosMod40!$CT$3</c:f>
              <c:strCache>
                <c:ptCount val="1"/>
              </c:strCache>
            </c:strRef>
          </c:tx>
          <c:spPr>
            <a:solidFill>
              <a:schemeClr val="accent4"/>
            </a:solidFill>
            <a:ln>
              <a:noFill/>
            </a:ln>
            <a:effectLst/>
          </c:spPr>
          <c:invertIfNegative val="0"/>
          <c:cat>
            <c:multiLvlStrRef>
              <c:f>TblDePagosMod40!$CO$4:$CP$29</c:f>
              <c:multiLvlStrCache>
                <c:ptCount val="26"/>
                <c:lvl>
                  <c:pt idx="0">
                    <c:v>Valor de la UMA</c:v>
                  </c:pt>
                  <c:pt idx="1">
                    <c:v> $-   </c:v>
                  </c:pt>
                  <c:pt idx="2">
                    <c:v> $-   </c:v>
                  </c:pt>
                  <c:pt idx="3">
                    <c:v> $-   </c:v>
                  </c:pt>
                  <c:pt idx="4">
                    <c:v> $-   </c:v>
                  </c:pt>
                  <c:pt idx="5">
                    <c:v> $-   </c:v>
                  </c:pt>
                  <c:pt idx="6">
                    <c:v> $-   </c:v>
                  </c:pt>
                  <c:pt idx="7">
                    <c:v> $-   </c:v>
                  </c:pt>
                  <c:pt idx="8">
                    <c:v> $-   </c:v>
                  </c:pt>
                  <c:pt idx="9">
                    <c:v> $-   </c:v>
                  </c:pt>
                  <c:pt idx="10">
                    <c:v> $-   </c:v>
                  </c:pt>
                  <c:pt idx="11">
                    <c:v> $-   </c:v>
                  </c:pt>
                  <c:pt idx="12">
                    <c:v> $-   </c:v>
                  </c:pt>
                  <c:pt idx="13">
                    <c:v> $-   </c:v>
                  </c:pt>
                  <c:pt idx="14">
                    <c:v> $-   </c:v>
                  </c:pt>
                  <c:pt idx="15">
                    <c:v> $-   </c:v>
                  </c:pt>
                  <c:pt idx="16">
                    <c:v> $-   </c:v>
                  </c:pt>
                  <c:pt idx="17">
                    <c:v> $-   </c:v>
                  </c:pt>
                  <c:pt idx="18">
                    <c:v> $-   </c:v>
                  </c:pt>
                  <c:pt idx="19">
                    <c:v> $-   </c:v>
                  </c:pt>
                  <c:pt idx="20">
                    <c:v> $-   </c:v>
                  </c:pt>
                  <c:pt idx="21">
                    <c:v> $-   </c:v>
                  </c:pt>
                  <c:pt idx="22">
                    <c:v> $-   </c:v>
                  </c:pt>
                  <c:pt idx="23">
                    <c:v> $-   </c:v>
                  </c:pt>
                  <c:pt idx="24">
                    <c:v> $-   </c:v>
                  </c:pt>
                  <c:pt idx="25">
                    <c:v> $-   </c:v>
                  </c:pt>
                </c:lvl>
                <c:lvl>
                  <c:pt idx="0">
                    <c:v>Cantidad de UMAs</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lvl>
              </c:multiLvlStrCache>
            </c:multiLvlStrRef>
          </c:cat>
          <c:val>
            <c:numRef>
              <c:f>TblDePagosMod40!$CT$4:$CT$29</c:f>
              <c:numCache>
                <c:formatCode>_("$"* #,##0.00_);_("$"* \(#,##0.00\);_("$"* "-"??_);_(@_)</c:formatCode>
                <c:ptCount val="26"/>
                <c:pt idx="0" formatCode="General">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3-4E70-4482-921E-516C744CD1C3}"/>
            </c:ext>
          </c:extLst>
        </c:ser>
        <c:dLbls>
          <c:showLegendKey val="0"/>
          <c:showVal val="0"/>
          <c:showCatName val="0"/>
          <c:showSerName val="0"/>
          <c:showPercent val="0"/>
          <c:showBubbleSize val="0"/>
        </c:dLbls>
        <c:gapWidth val="219"/>
        <c:overlap val="-27"/>
        <c:axId val="1319440735"/>
        <c:axId val="1319442399"/>
      </c:barChart>
      <c:catAx>
        <c:axId val="131944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9442399"/>
        <c:crosses val="autoZero"/>
        <c:auto val="1"/>
        <c:lblAlgn val="ctr"/>
        <c:lblOffset val="100"/>
        <c:noMultiLvlLbl val="0"/>
      </c:catAx>
      <c:valAx>
        <c:axId val="131944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19440735"/>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EB30356-CB3B-47F6-A824-4F78625841F9}">
  <sheetPr codeName="Gráfico1">
    <tabColor rgb="FF002060"/>
  </sheetPr>
  <sheetViews>
    <sheetView zoomScale="82" workbookViewId="0" zoomToFit="1"/>
  </sheetViews>
  <pageMargins left="0.7" right="0.7" top="0.75" bottom="0.75" header="0.3" footer="0.3"/>
  <drawing r:id="rId1"/>
</chartsheet>
</file>

<file path=xl/ctrlProps/ctrlProp1.xml><?xml version="1.0" encoding="utf-8"?>
<formControlPr xmlns="http://schemas.microsoft.com/office/spreadsheetml/2009/9/main" objectType="CheckBox" fmlaLink="$K$21" lockText="1"/>
</file>

<file path=xl/ctrlProps/ctrlProp2.xml><?xml version="1.0" encoding="utf-8"?>
<formControlPr xmlns="http://schemas.microsoft.com/office/spreadsheetml/2009/9/main" objectType="CheckBox" fmlaLink="AE$21" lockText="1"/>
</file>

<file path=xl/ctrlProps/ctrlProp3.xml><?xml version="1.0" encoding="utf-8"?>
<formControlPr xmlns="http://schemas.microsoft.com/office/spreadsheetml/2009/9/main" objectType="CheckBox" fmlaLink="AJ$21" lockText="1"/>
</file>

<file path=xl/ctrlProps/ctrlProp4.xml><?xml version="1.0" encoding="utf-8"?>
<formControlPr xmlns="http://schemas.microsoft.com/office/spreadsheetml/2009/9/main" objectType="CheckBox" fmlaLink="AO$21" lockText="1"/>
</file>

<file path=xl/ctrlProps/ctrlProp5.xml><?xml version="1.0" encoding="utf-8"?>
<formControlPr xmlns="http://schemas.microsoft.com/office/spreadsheetml/2009/9/main" objectType="CheckBox" fmlaLink="AT$21" lockText="1"/>
</file>

<file path=xl/ctrlProps/ctrlProp6.xml><?xml version="1.0" encoding="utf-8"?>
<formControlPr xmlns="http://schemas.microsoft.com/office/spreadsheetml/2009/9/main" objectType="CheckBox" fmlaLink="AY$21" lockText="1"/>
</file>

<file path=xl/ctrlProps/ctrlProp7.xml><?xml version="1.0" encoding="utf-8"?>
<formControlPr xmlns="http://schemas.microsoft.com/office/spreadsheetml/2009/9/main" objectType="CheckBox" fmlaLink="F$21" lockText="1"/>
</file>

<file path=xl/ctrlProps/ctrlProp8.xml><?xml version="1.0" encoding="utf-8"?>
<formControlPr xmlns="http://schemas.microsoft.com/office/spreadsheetml/2009/9/main" objectType="CheckBox" fmlaLink="BD$21" lockText="1"/>
</file>

<file path=xl/ctrlProps/ctrlProp9.xml><?xml version="1.0" encoding="utf-8"?>
<formControlPr xmlns="http://schemas.microsoft.com/office/spreadsheetml/2009/9/main" objectType="CheckBox" fmlaLink="BI$21" lockText="1"/>
</file>

<file path=xl/ctrlProps/ctrlProp10.xml><?xml version="1.0" encoding="utf-8"?>
<formControlPr xmlns="http://schemas.microsoft.com/office/spreadsheetml/2009/9/main" objectType="CheckBox" fmlaLink="BN$21" lockText="1"/>
</file>

<file path=xl/ctrlProps/ctrlProp11.xml><?xml version="1.0" encoding="utf-8"?>
<formControlPr xmlns="http://schemas.microsoft.com/office/spreadsheetml/2009/9/main" objectType="CheckBox" fmlaLink="$K$21" lockText="1"/>
</file>

<file path=xl/ctrlProps/ctrlProp12.xml><?xml version="1.0" encoding="utf-8"?>
<formControlPr xmlns="http://schemas.microsoft.com/office/spreadsheetml/2009/9/main" objectType="CheckBox" fmlaLink="$Z$21" lockText="1"/>
</file>

<file path=xl/ctrlProps/ctrlProp13.xml><?xml version="1.0" encoding="utf-8"?>
<formControlPr xmlns="http://schemas.microsoft.com/office/spreadsheetml/2009/9/main" objectType="CheckBox" fmlaLink="$U$21" lockText="1"/>
</file>

<file path=xl/ctrlProps/ctrlProp14.xml><?xml version="1.0" encoding="utf-8"?>
<formControlPr xmlns="http://schemas.microsoft.com/office/spreadsheetml/2009/9/main" objectType="CheckBox" fmlaLink="$P$21" lockText="1"/>
</file>

<file path=xl/ctrlProps/ctrlProp15.xml><?xml version="1.0" encoding="utf-8"?>
<formControlPr xmlns="http://schemas.microsoft.com/office/spreadsheetml/2009/9/main" objectType="CheckBox" fmlaLink="BS$21" lockText="1"/>
</file>

<file path=xl/ctrlProps/ctrlProp16.xml><?xml version="1.0" encoding="utf-8"?>
<formControlPr xmlns="http://schemas.microsoft.com/office/spreadsheetml/2009/9/main" objectType="CheckBox" fmlaLink="BX$21" lockText="1"/>
</file>

<file path=xl/ctrlProps/ctrlProp17.xml><?xml version="1.0" encoding="utf-8"?>
<formControlPr xmlns="http://schemas.microsoft.com/office/spreadsheetml/2009/9/main" objectType="CheckBox" fmlaLink="CC$21" lockText="1"/>
</file>

<file path=xl/ctrlProps/ctrlProp18.xml><?xml version="1.0" encoding="utf-8"?>
<formControlPr xmlns="http://schemas.microsoft.com/office/spreadsheetml/2009/9/main" objectType="CheckBox" fmlaLink="CH$21" lockText="1"/>
</file>

<file path=xl/ctrlProps/ctrlProp19.xml><?xml version="1.0" encoding="utf-8"?>
<formControlPr xmlns="http://schemas.microsoft.com/office/spreadsheetml/2009/9/main" objectType="CheckBox" fmlaLink="CM$21"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1740</xdr:colOff>
      <xdr:row>0</xdr:row>
      <xdr:rowOff>174571</xdr:rowOff>
    </xdr:from>
    <xdr:to>
      <xdr:col>5</xdr:col>
      <xdr:colOff>1447067</xdr:colOff>
      <xdr:row>2</xdr:row>
      <xdr:rowOff>252</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181250" y="174571"/>
          <a:ext cx="7838067" cy="510748"/>
        </a:xfrm>
        <a:prstGeom prst="round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54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b="1"/>
            <a:t>SIMULADOR</a:t>
          </a:r>
          <a:r>
            <a:rPr lang="en-US" sz="1100" b="1" baseline="0"/>
            <a:t> DE CÁLCULO DE PENSIÓN </a:t>
          </a:r>
        </a:p>
        <a:p>
          <a:pPr algn="ctr"/>
          <a:r>
            <a:rPr lang="en-US" sz="1100" b="1" baseline="0"/>
            <a:t>LEY DEL IMSS '73 </a:t>
          </a:r>
          <a:endParaRPr lang="en-US" sz="1100" b="1"/>
        </a:p>
      </xdr:txBody>
    </xdr:sp>
    <xdr:clientData/>
  </xdr:twoCellAnchor>
  <xdr:twoCellAnchor>
    <xdr:from>
      <xdr:col>0</xdr:col>
      <xdr:colOff>178462</xdr:colOff>
      <xdr:row>3</xdr:row>
      <xdr:rowOff>3664</xdr:rowOff>
    </xdr:from>
    <xdr:to>
      <xdr:col>6</xdr:col>
      <xdr:colOff>3664</xdr:colOff>
      <xdr:row>4</xdr:row>
      <xdr:rowOff>0</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178462" y="725366"/>
          <a:ext cx="7844519" cy="190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DATOS GENERALES</a:t>
          </a:r>
        </a:p>
        <a:p>
          <a:pPr algn="l"/>
          <a:endParaRPr lang="en-US" sz="1100"/>
        </a:p>
      </xdr:txBody>
    </xdr:sp>
    <xdr:clientData/>
  </xdr:twoCellAnchor>
  <xdr:twoCellAnchor>
    <xdr:from>
      <xdr:col>1</xdr:col>
      <xdr:colOff>1056</xdr:colOff>
      <xdr:row>29</xdr:row>
      <xdr:rowOff>1411</xdr:rowOff>
    </xdr:from>
    <xdr:to>
      <xdr:col>6</xdr:col>
      <xdr:colOff>2463</xdr:colOff>
      <xdr:row>29</xdr:row>
      <xdr:rowOff>190500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180973" y="4633383"/>
          <a:ext cx="7840129" cy="189089"/>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b="1"/>
            <a:t>CONCEPTOS</a:t>
          </a:r>
          <a:r>
            <a:rPr lang="en-US" sz="1100" b="1" baseline="0"/>
            <a:t> DE CÁLCULO</a:t>
          </a:r>
          <a:endParaRPr lang="en-US" sz="1100" b="1"/>
        </a:p>
        <a:p>
          <a:pPr algn="l"/>
          <a:endParaRPr lang="en-US" sz="1100"/>
        </a:p>
      </xdr:txBody>
    </xdr:sp>
    <xdr:clientData/>
  </xdr:twoCellAnchor>
  <xdr:twoCellAnchor>
    <xdr:from>
      <xdr:col>0</xdr:col>
      <xdr:colOff>180974</xdr:colOff>
      <xdr:row>23</xdr:row>
      <xdr:rowOff>0</xdr:rowOff>
    </xdr:from>
    <xdr:to>
      <xdr:col>6</xdr:col>
      <xdr:colOff>0</xdr:colOff>
      <xdr:row>24</xdr:row>
      <xdr:rowOff>0</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180974" y="4438650"/>
          <a:ext cx="8062914" cy="180975"/>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b="1"/>
            <a:t>FACTORES</a:t>
          </a:r>
        </a:p>
        <a:p>
          <a:pPr algn="l"/>
          <a:endParaRPr lang="en-US" sz="1100"/>
        </a:p>
      </xdr:txBody>
    </xdr:sp>
    <xdr:clientData/>
  </xdr:twoCellAnchor>
  <xdr:twoCellAnchor>
    <xdr:from>
      <xdr:col>1</xdr:col>
      <xdr:colOff>1681</xdr:colOff>
      <xdr:row>31</xdr:row>
      <xdr:rowOff>3527</xdr:rowOff>
    </xdr:from>
    <xdr:to>
      <xdr:col>6</xdr:col>
      <xdr:colOff>7096</xdr:colOff>
      <xdr:row>31</xdr:row>
      <xdr:rowOff>188258</xdr:rowOff>
    </xdr:to>
    <xdr:sp macro="" textlink="">
      <xdr:nvSpPr>
        <xdr:cNvPr id="7" name="Rectangle: Rounded Corners 6">
          <a:extLst>
            <a:ext uri="{FF2B5EF4-FFF2-40B4-BE49-F238E27FC236}">
              <a16:creationId xmlns:a16="http://schemas.microsoft.com/office/drawing/2014/main" id="{00000000-0008-0000-0000-000007000000}"/>
            </a:ext>
          </a:extLst>
        </xdr:cNvPr>
        <xdr:cNvSpPr/>
      </xdr:nvSpPr>
      <xdr:spPr>
        <a:xfrm>
          <a:off x="181598" y="4864805"/>
          <a:ext cx="7844137" cy="184731"/>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CUANTÍA</a:t>
          </a:r>
          <a:r>
            <a:rPr lang="en-US" sz="1100" baseline="0"/>
            <a:t> BÁSICA DE PENSIÓN</a:t>
          </a:r>
          <a:endParaRPr lang="en-US" sz="1100"/>
        </a:p>
        <a:p>
          <a:pPr algn="l"/>
          <a:endParaRPr lang="en-US" sz="1100"/>
        </a:p>
      </xdr:txBody>
    </xdr:sp>
    <xdr:clientData/>
  </xdr:twoCellAnchor>
  <xdr:twoCellAnchor>
    <xdr:from>
      <xdr:col>1</xdr:col>
      <xdr:colOff>7283</xdr:colOff>
      <xdr:row>39</xdr:row>
      <xdr:rowOff>10087</xdr:rowOff>
    </xdr:from>
    <xdr:to>
      <xdr:col>6</xdr:col>
      <xdr:colOff>8067</xdr:colOff>
      <xdr:row>40</xdr:row>
      <xdr:rowOff>1</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190979" y="6126498"/>
          <a:ext cx="7838499" cy="180414"/>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CUANTÍA</a:t>
          </a:r>
          <a:r>
            <a:rPr lang="en-US" sz="1100" baseline="0"/>
            <a:t> DE INCREMENTOS ANUALES</a:t>
          </a:r>
          <a:endParaRPr lang="en-US" sz="1100"/>
        </a:p>
        <a:p>
          <a:pPr algn="l"/>
          <a:endParaRPr lang="en-US" sz="1100"/>
        </a:p>
      </xdr:txBody>
    </xdr:sp>
    <xdr:clientData/>
  </xdr:twoCellAnchor>
  <xdr:twoCellAnchor>
    <xdr:from>
      <xdr:col>1</xdr:col>
      <xdr:colOff>0</xdr:colOff>
      <xdr:row>56</xdr:row>
      <xdr:rowOff>5480</xdr:rowOff>
    </xdr:from>
    <xdr:to>
      <xdr:col>6</xdr:col>
      <xdr:colOff>779</xdr:colOff>
      <xdr:row>57</xdr:row>
      <xdr:rowOff>3528</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179917" y="8620313"/>
          <a:ext cx="7839501" cy="188548"/>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b="1"/>
            <a:t>ASIGNACIONES</a:t>
          </a:r>
          <a:r>
            <a:rPr lang="en-US" sz="1100" b="1" baseline="0"/>
            <a:t> FAMILIARES</a:t>
          </a:r>
          <a:endParaRPr lang="en-US" sz="1100" b="1"/>
        </a:p>
        <a:p>
          <a:pPr algn="l"/>
          <a:endParaRPr lang="en-US" sz="1100"/>
        </a:p>
      </xdr:txBody>
    </xdr:sp>
    <xdr:clientData/>
  </xdr:twoCellAnchor>
  <xdr:twoCellAnchor>
    <xdr:from>
      <xdr:col>1</xdr:col>
      <xdr:colOff>3527</xdr:colOff>
      <xdr:row>58</xdr:row>
      <xdr:rowOff>8658</xdr:rowOff>
    </xdr:from>
    <xdr:to>
      <xdr:col>6</xdr:col>
      <xdr:colOff>518</xdr:colOff>
      <xdr:row>58</xdr:row>
      <xdr:rowOff>184149</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183444" y="9004491"/>
          <a:ext cx="7835713" cy="175491"/>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Asignación por Esposa o Concubina</a:t>
          </a:r>
        </a:p>
        <a:p>
          <a:pPr algn="l"/>
          <a:endParaRPr lang="en-US" sz="1100"/>
        </a:p>
      </xdr:txBody>
    </xdr:sp>
    <xdr:clientData/>
  </xdr:twoCellAnchor>
  <xdr:twoCellAnchor>
    <xdr:from>
      <xdr:col>0</xdr:col>
      <xdr:colOff>170089</xdr:colOff>
      <xdr:row>71</xdr:row>
      <xdr:rowOff>1786</xdr:rowOff>
    </xdr:from>
    <xdr:to>
      <xdr:col>6</xdr:col>
      <xdr:colOff>14287</xdr:colOff>
      <xdr:row>72</xdr:row>
      <xdr:rowOff>2562</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170089" y="10879336"/>
          <a:ext cx="8088086" cy="181751"/>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Asignación por padres</a:t>
          </a:r>
          <a:r>
            <a:rPr lang="en-US" sz="1100" baseline="0"/>
            <a:t> dependientes</a:t>
          </a:r>
          <a:endParaRPr lang="en-US" sz="1100"/>
        </a:p>
        <a:p>
          <a:pPr algn="l"/>
          <a:endParaRPr lang="en-US" sz="1100"/>
        </a:p>
      </xdr:txBody>
    </xdr:sp>
    <xdr:clientData/>
  </xdr:twoCellAnchor>
  <xdr:twoCellAnchor>
    <xdr:from>
      <xdr:col>1</xdr:col>
      <xdr:colOff>455</xdr:colOff>
      <xdr:row>64</xdr:row>
      <xdr:rowOff>5602</xdr:rowOff>
    </xdr:from>
    <xdr:to>
      <xdr:col>6</xdr:col>
      <xdr:colOff>2552</xdr:colOff>
      <xdr:row>65</xdr:row>
      <xdr:rowOff>6803</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79749" y="6695514"/>
          <a:ext cx="6591156" cy="191701"/>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Asignación por hijos</a:t>
          </a:r>
        </a:p>
        <a:p>
          <a:pPr algn="l"/>
          <a:endParaRPr lang="en-US" sz="1100"/>
        </a:p>
      </xdr:txBody>
    </xdr:sp>
    <xdr:clientData/>
  </xdr:twoCellAnchor>
  <xdr:twoCellAnchor>
    <xdr:from>
      <xdr:col>1</xdr:col>
      <xdr:colOff>2721</xdr:colOff>
      <xdr:row>77</xdr:row>
      <xdr:rowOff>38805</xdr:rowOff>
    </xdr:from>
    <xdr:to>
      <xdr:col>6</xdr:col>
      <xdr:colOff>648</xdr:colOff>
      <xdr:row>78</xdr:row>
      <xdr:rowOff>190500</xdr:rowOff>
    </xdr:to>
    <xdr:sp macro="" textlink="">
      <xdr:nvSpPr>
        <xdr:cNvPr id="16" name="Rectangle: Rounded Corners 15">
          <a:extLst>
            <a:ext uri="{FF2B5EF4-FFF2-40B4-BE49-F238E27FC236}">
              <a16:creationId xmlns:a16="http://schemas.microsoft.com/office/drawing/2014/main" id="{00000000-0008-0000-0000-000010000000}"/>
            </a:ext>
          </a:extLst>
        </xdr:cNvPr>
        <xdr:cNvSpPr/>
      </xdr:nvSpPr>
      <xdr:spPr>
        <a:xfrm>
          <a:off x="182638" y="11775722"/>
          <a:ext cx="7836649" cy="190500"/>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Asignación asistencial</a:t>
          </a:r>
        </a:p>
        <a:p>
          <a:pPr algn="l"/>
          <a:endParaRPr lang="en-US" sz="1100"/>
        </a:p>
      </xdr:txBody>
    </xdr:sp>
    <xdr:clientData/>
  </xdr:twoCellAnchor>
  <xdr:twoCellAnchor>
    <xdr:from>
      <xdr:col>0</xdr:col>
      <xdr:colOff>176892</xdr:colOff>
      <xdr:row>50</xdr:row>
      <xdr:rowOff>0</xdr:rowOff>
    </xdr:from>
    <xdr:to>
      <xdr:col>6</xdr:col>
      <xdr:colOff>813</xdr:colOff>
      <xdr:row>51</xdr:row>
      <xdr:rowOff>6804</xdr:rowOff>
    </xdr:to>
    <xdr:sp macro="" textlink="">
      <xdr:nvSpPr>
        <xdr:cNvPr id="18" name="Rectangle: Rounded Corners 17">
          <a:extLst>
            <a:ext uri="{FF2B5EF4-FFF2-40B4-BE49-F238E27FC236}">
              <a16:creationId xmlns:a16="http://schemas.microsoft.com/office/drawing/2014/main" id="{00000000-0008-0000-0000-000012000000}"/>
            </a:ext>
          </a:extLst>
        </xdr:cNvPr>
        <xdr:cNvSpPr/>
      </xdr:nvSpPr>
      <xdr:spPr>
        <a:xfrm>
          <a:off x="176892" y="7776482"/>
          <a:ext cx="7845332" cy="197304"/>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Cálculo de</a:t>
          </a:r>
          <a:r>
            <a:rPr lang="en-US" sz="1100" baseline="0"/>
            <a:t> pensión por cesantía</a:t>
          </a:r>
          <a:endParaRPr lang="en-US" sz="1100"/>
        </a:p>
        <a:p>
          <a:pPr algn="l"/>
          <a:endParaRPr lang="en-US" sz="1100"/>
        </a:p>
      </xdr:txBody>
    </xdr:sp>
    <xdr:clientData/>
  </xdr:twoCellAnchor>
  <xdr:twoCellAnchor>
    <xdr:from>
      <xdr:col>1</xdr:col>
      <xdr:colOff>1132</xdr:colOff>
      <xdr:row>90</xdr:row>
      <xdr:rowOff>7936</xdr:rowOff>
    </xdr:from>
    <xdr:to>
      <xdr:col>6</xdr:col>
      <xdr:colOff>5656</xdr:colOff>
      <xdr:row>90</xdr:row>
      <xdr:rowOff>190499</xdr:rowOff>
    </xdr:to>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181049" y="13332353"/>
          <a:ext cx="7843246" cy="182563"/>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100"/>
            <a:t>Cálculo de</a:t>
          </a:r>
          <a:r>
            <a:rPr lang="en-US" sz="1100" baseline="0"/>
            <a:t> impuesto sobre la renta (ISR)</a:t>
          </a:r>
          <a:endParaRPr lang="en-US" sz="1100"/>
        </a:p>
        <a:p>
          <a:pPr algn="l"/>
          <a:endParaRPr lang="en-US" sz="1100"/>
        </a:p>
      </xdr:txBody>
    </xdr:sp>
    <xdr:clientData/>
  </xdr:twoCellAnchor>
  <xdr:twoCellAnchor>
    <xdr:from>
      <xdr:col>1</xdr:col>
      <xdr:colOff>1855</xdr:colOff>
      <xdr:row>99</xdr:row>
      <xdr:rowOff>0</xdr:rowOff>
    </xdr:from>
    <xdr:to>
      <xdr:col>6</xdr:col>
      <xdr:colOff>999</xdr:colOff>
      <xdr:row>99</xdr:row>
      <xdr:rowOff>186972</xdr:rowOff>
    </xdr:to>
    <xdr:sp macro="" textlink="">
      <xdr:nvSpPr>
        <xdr:cNvPr id="5" name="Rectángulo: esquinas redondeadas 4">
          <a:extLst>
            <a:ext uri="{FF2B5EF4-FFF2-40B4-BE49-F238E27FC236}">
              <a16:creationId xmlns:a16="http://schemas.microsoft.com/office/drawing/2014/main" id="{00000000-0008-0000-0000-000005000000}"/>
            </a:ext>
          </a:extLst>
        </xdr:cNvPr>
        <xdr:cNvSpPr/>
      </xdr:nvSpPr>
      <xdr:spPr>
        <a:xfrm>
          <a:off x="181772" y="14622639"/>
          <a:ext cx="7837866" cy="186972"/>
        </a:xfrm>
        <a:prstGeom prst="round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s-MX" sz="1100"/>
            <a:t>INFORMACIÓN</a:t>
          </a:r>
          <a:r>
            <a:rPr lang="es-MX" sz="1100" baseline="0"/>
            <a:t> DE INVERSION EN MODALIDAD 40</a:t>
          </a:r>
        </a:p>
      </xdr:txBody>
    </xdr:sp>
    <xdr:clientData/>
  </xdr:twoCellAnchor>
  <xdr:twoCellAnchor editAs="oneCell">
    <xdr:from>
      <xdr:col>1</xdr:col>
      <xdr:colOff>36635</xdr:colOff>
      <xdr:row>0</xdr:row>
      <xdr:rowOff>0</xdr:rowOff>
    </xdr:from>
    <xdr:to>
      <xdr:col>2</xdr:col>
      <xdr:colOff>196850</xdr:colOff>
      <xdr:row>3</xdr:row>
      <xdr:rowOff>180920</xdr:rowOff>
    </xdr:to>
    <xdr:pic>
      <xdr:nvPicPr>
        <xdr:cNvPr id="15" name="Imagen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785" y="0"/>
          <a:ext cx="1049215" cy="10508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0</xdr:row>
      <xdr:rowOff>161925</xdr:rowOff>
    </xdr:from>
    <xdr:to>
      <xdr:col>7</xdr:col>
      <xdr:colOff>19050</xdr:colOff>
      <xdr:row>1</xdr:row>
      <xdr:rowOff>488497</xdr:rowOff>
    </xdr:to>
    <xdr:sp macro="" textlink="">
      <xdr:nvSpPr>
        <xdr:cNvPr id="2" name="Rectangle: Rounded Corners 2">
          <a:extLst>
            <a:ext uri="{FF2B5EF4-FFF2-40B4-BE49-F238E27FC236}">
              <a16:creationId xmlns:a16="http://schemas.microsoft.com/office/drawing/2014/main" id="{00000000-0008-0000-0100-000002000000}"/>
            </a:ext>
          </a:extLst>
        </xdr:cNvPr>
        <xdr:cNvSpPr/>
      </xdr:nvSpPr>
      <xdr:spPr>
        <a:xfrm>
          <a:off x="771525" y="161925"/>
          <a:ext cx="6962775" cy="517072"/>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1200" b="1"/>
            <a:t>CÁLCULO DE SALARIO PROMEDIO DIARO </a:t>
          </a:r>
        </a:p>
        <a:p>
          <a:pPr algn="ctr"/>
          <a:r>
            <a:rPr lang="en-US" sz="1200" b="1"/>
            <a:t>(ÚLTIMAS</a:t>
          </a:r>
          <a:r>
            <a:rPr lang="en-US" sz="1200" b="1" baseline="0"/>
            <a:t> 250 SEMANAS)</a:t>
          </a:r>
          <a:endParaRPr lang="en-US" sz="12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2721</xdr:colOff>
      <xdr:row>1</xdr:row>
      <xdr:rowOff>0</xdr:rowOff>
    </xdr:from>
    <xdr:to>
      <xdr:col>53</xdr:col>
      <xdr:colOff>28575</xdr:colOff>
      <xdr:row>2</xdr:row>
      <xdr:rowOff>0</xdr:rowOff>
    </xdr:to>
    <xdr:sp macro="" textlink="">
      <xdr:nvSpPr>
        <xdr:cNvPr id="2" name="Rectángulo: esquinas redondeadas 1">
          <a:extLst>
            <a:ext uri="{FF2B5EF4-FFF2-40B4-BE49-F238E27FC236}">
              <a16:creationId xmlns:a16="http://schemas.microsoft.com/office/drawing/2014/main" id="{00000000-0008-0000-0200-000002000000}"/>
            </a:ext>
          </a:extLst>
        </xdr:cNvPr>
        <xdr:cNvSpPr/>
      </xdr:nvSpPr>
      <xdr:spPr>
        <a:xfrm>
          <a:off x="364671" y="190500"/>
          <a:ext cx="8236404" cy="923925"/>
        </a:xfrm>
        <a:prstGeom prst="roundRect">
          <a:avLst/>
        </a:prstGeom>
        <a:gradFill flip="none" rotWithShape="1">
          <a:gsLst>
            <a:gs pos="0">
              <a:schemeClr val="bg1">
                <a:lumMod val="75000"/>
                <a:shade val="30000"/>
                <a:satMod val="115000"/>
              </a:schemeClr>
            </a:gs>
            <a:gs pos="50000">
              <a:schemeClr val="bg1">
                <a:lumMod val="75000"/>
                <a:shade val="67500"/>
                <a:satMod val="115000"/>
              </a:schemeClr>
            </a:gs>
            <a:gs pos="100000">
              <a:schemeClr val="bg1">
                <a:lumMod val="75000"/>
                <a:shade val="100000"/>
                <a:satMod val="115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400"/>
            <a:t>AMORTIZACIÓN DE PAGOS MOD. 40</a:t>
          </a:r>
        </a:p>
      </xdr:txBody>
    </xdr:sp>
    <xdr:clientData/>
  </xdr:twoCellAnchor>
  <mc:AlternateContent xmlns:mc="http://schemas.openxmlformats.org/markup-compatibility/2006">
    <mc:Choice xmlns:a14="http://schemas.microsoft.com/office/drawing/2010/main" Requires="a14">
      <xdr:twoCellAnchor editAs="oneCell">
        <xdr:from>
          <xdr:col>10</xdr:col>
          <xdr:colOff>50800</xdr:colOff>
          <xdr:row>3</xdr:row>
          <xdr:rowOff>222250</xdr:rowOff>
        </xdr:from>
        <xdr:to>
          <xdr:col>11</xdr:col>
          <xdr:colOff>95250</xdr:colOff>
          <xdr:row>5</xdr:row>
          <xdr:rowOff>107950</xdr:rowOff>
        </xdr:to>
        <xdr:sp macro="" textlink="">
          <xdr:nvSpPr>
            <xdr:cNvPr id="5123" name="Check Box 3" descr="&#10;" hidden="1">
              <a:extLst>
                <a:ext uri="{63B3BB69-23CF-44E3-9099-C40C66FF867C}">
                  <a14:compatExt spid="_x0000_s5123"/>
                </a:ext>
                <a:ext uri="{FF2B5EF4-FFF2-40B4-BE49-F238E27FC236}">
                  <a16:creationId xmlns:a16="http://schemas.microsoft.com/office/drawing/2014/main" id="{00000000-0008-0000-0200-00000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30</xdr:col>
          <xdr:colOff>31750</xdr:colOff>
          <xdr:row>3</xdr:row>
          <xdr:rowOff>222250</xdr:rowOff>
        </xdr:from>
        <xdr:to>
          <xdr:col>31</xdr:col>
          <xdr:colOff>88900</xdr:colOff>
          <xdr:row>5</xdr:row>
          <xdr:rowOff>107950</xdr:rowOff>
        </xdr:to>
        <xdr:sp macro="" textlink="">
          <xdr:nvSpPr>
            <xdr:cNvPr id="5126" name="Check Box 6" descr="&#10;" hidden="1">
              <a:extLst>
                <a:ext uri="{63B3BB69-23CF-44E3-9099-C40C66FF867C}">
                  <a14:compatExt spid="_x0000_s5126"/>
                </a:ext>
                <a:ext uri="{FF2B5EF4-FFF2-40B4-BE49-F238E27FC236}">
                  <a16:creationId xmlns:a16="http://schemas.microsoft.com/office/drawing/2014/main" id="{00000000-0008-0000-0200-00000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35</xdr:col>
          <xdr:colOff>50800</xdr:colOff>
          <xdr:row>3</xdr:row>
          <xdr:rowOff>222250</xdr:rowOff>
        </xdr:from>
        <xdr:to>
          <xdr:col>36</xdr:col>
          <xdr:colOff>107950</xdr:colOff>
          <xdr:row>5</xdr:row>
          <xdr:rowOff>107950</xdr:rowOff>
        </xdr:to>
        <xdr:sp macro="" textlink="">
          <xdr:nvSpPr>
            <xdr:cNvPr id="5127" name="Check Box 7" descr="&#10;" hidden="1">
              <a:extLst>
                <a:ext uri="{63B3BB69-23CF-44E3-9099-C40C66FF867C}">
                  <a14:compatExt spid="_x0000_s5127"/>
                </a:ext>
                <a:ext uri="{FF2B5EF4-FFF2-40B4-BE49-F238E27FC236}">
                  <a16:creationId xmlns:a16="http://schemas.microsoft.com/office/drawing/2014/main" id="{00000000-0008-0000-02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50800</xdr:colOff>
          <xdr:row>3</xdr:row>
          <xdr:rowOff>222250</xdr:rowOff>
        </xdr:from>
        <xdr:to>
          <xdr:col>41</xdr:col>
          <xdr:colOff>107950</xdr:colOff>
          <xdr:row>5</xdr:row>
          <xdr:rowOff>95250</xdr:rowOff>
        </xdr:to>
        <xdr:sp macro="" textlink="">
          <xdr:nvSpPr>
            <xdr:cNvPr id="5128" name="Check Box 8" descr="&#10;" hidden="1">
              <a:extLst>
                <a:ext uri="{63B3BB69-23CF-44E3-9099-C40C66FF867C}">
                  <a14:compatExt spid="_x0000_s5128"/>
                </a:ext>
                <a:ext uri="{FF2B5EF4-FFF2-40B4-BE49-F238E27FC236}">
                  <a16:creationId xmlns:a16="http://schemas.microsoft.com/office/drawing/2014/main" id="{00000000-0008-0000-02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45</xdr:col>
          <xdr:colOff>12700</xdr:colOff>
          <xdr:row>3</xdr:row>
          <xdr:rowOff>222250</xdr:rowOff>
        </xdr:from>
        <xdr:to>
          <xdr:col>46</xdr:col>
          <xdr:colOff>76200</xdr:colOff>
          <xdr:row>5</xdr:row>
          <xdr:rowOff>95250</xdr:rowOff>
        </xdr:to>
        <xdr:sp macro="" textlink="">
          <xdr:nvSpPr>
            <xdr:cNvPr id="5129" name="Check Box 9" descr="&#10;" hidden="1">
              <a:extLst>
                <a:ext uri="{63B3BB69-23CF-44E3-9099-C40C66FF867C}">
                  <a14:compatExt spid="_x0000_s5129"/>
                </a:ext>
                <a:ext uri="{FF2B5EF4-FFF2-40B4-BE49-F238E27FC236}">
                  <a16:creationId xmlns:a16="http://schemas.microsoft.com/office/drawing/2014/main" id="{00000000-0008-0000-0200-00000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50</xdr:col>
          <xdr:colOff>12700</xdr:colOff>
          <xdr:row>3</xdr:row>
          <xdr:rowOff>222250</xdr:rowOff>
        </xdr:from>
        <xdr:to>
          <xdr:col>51</xdr:col>
          <xdr:colOff>76200</xdr:colOff>
          <xdr:row>5</xdr:row>
          <xdr:rowOff>95250</xdr:rowOff>
        </xdr:to>
        <xdr:sp macro="" textlink="">
          <xdr:nvSpPr>
            <xdr:cNvPr id="5130" name="Check Box 10" descr="&#10;" hidden="1">
              <a:extLst>
                <a:ext uri="{63B3BB69-23CF-44E3-9099-C40C66FF867C}">
                  <a14:compatExt spid="_x0000_s5130"/>
                </a:ext>
                <a:ext uri="{FF2B5EF4-FFF2-40B4-BE49-F238E27FC236}">
                  <a16:creationId xmlns:a16="http://schemas.microsoft.com/office/drawing/2014/main" id="{00000000-0008-0000-02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xdr:col>
          <xdr:colOff>76200</xdr:colOff>
          <xdr:row>3</xdr:row>
          <xdr:rowOff>222250</xdr:rowOff>
        </xdr:from>
        <xdr:to>
          <xdr:col>6</xdr:col>
          <xdr:colOff>127000</xdr:colOff>
          <xdr:row>5</xdr:row>
          <xdr:rowOff>95250</xdr:rowOff>
        </xdr:to>
        <xdr:sp macro="" textlink="">
          <xdr:nvSpPr>
            <xdr:cNvPr id="5131" name="Check Box 11" descr="&#10;" hidden="1">
              <a:extLst>
                <a:ext uri="{63B3BB69-23CF-44E3-9099-C40C66FF867C}">
                  <a14:compatExt spid="_x0000_s5131"/>
                </a:ext>
                <a:ext uri="{FF2B5EF4-FFF2-40B4-BE49-F238E27FC236}">
                  <a16:creationId xmlns:a16="http://schemas.microsoft.com/office/drawing/2014/main" id="{00000000-0008-0000-0200-00000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55</xdr:col>
          <xdr:colOff>19050</xdr:colOff>
          <xdr:row>3</xdr:row>
          <xdr:rowOff>222250</xdr:rowOff>
        </xdr:from>
        <xdr:to>
          <xdr:col>56</xdr:col>
          <xdr:colOff>76200</xdr:colOff>
          <xdr:row>5</xdr:row>
          <xdr:rowOff>95250</xdr:rowOff>
        </xdr:to>
        <xdr:sp macro="" textlink="">
          <xdr:nvSpPr>
            <xdr:cNvPr id="5132" name="Check Box 12" descr="&#10;" hidden="1">
              <a:extLst>
                <a:ext uri="{63B3BB69-23CF-44E3-9099-C40C66FF867C}">
                  <a14:compatExt spid="_x0000_s5132"/>
                </a:ext>
                <a:ext uri="{FF2B5EF4-FFF2-40B4-BE49-F238E27FC236}">
                  <a16:creationId xmlns:a16="http://schemas.microsoft.com/office/drawing/2014/main" id="{00000000-0008-0000-02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60</xdr:col>
          <xdr:colOff>31750</xdr:colOff>
          <xdr:row>3</xdr:row>
          <xdr:rowOff>222250</xdr:rowOff>
        </xdr:from>
        <xdr:to>
          <xdr:col>61</xdr:col>
          <xdr:colOff>88900</xdr:colOff>
          <xdr:row>5</xdr:row>
          <xdr:rowOff>95250</xdr:rowOff>
        </xdr:to>
        <xdr:sp macro="" textlink="">
          <xdr:nvSpPr>
            <xdr:cNvPr id="5133" name="Check Box 13" descr="&#10;" hidden="1">
              <a:extLst>
                <a:ext uri="{63B3BB69-23CF-44E3-9099-C40C66FF867C}">
                  <a14:compatExt spid="_x0000_s5133"/>
                </a:ext>
                <a:ext uri="{FF2B5EF4-FFF2-40B4-BE49-F238E27FC236}">
                  <a16:creationId xmlns:a16="http://schemas.microsoft.com/office/drawing/2014/main" id="{00000000-0008-0000-02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65</xdr:col>
          <xdr:colOff>38100</xdr:colOff>
          <xdr:row>3</xdr:row>
          <xdr:rowOff>222250</xdr:rowOff>
        </xdr:from>
        <xdr:to>
          <xdr:col>66</xdr:col>
          <xdr:colOff>95250</xdr:colOff>
          <xdr:row>5</xdr:row>
          <xdr:rowOff>95250</xdr:rowOff>
        </xdr:to>
        <xdr:sp macro="" textlink="">
          <xdr:nvSpPr>
            <xdr:cNvPr id="5134" name="Check Box 14" descr="&#10;" hidden="1">
              <a:extLst>
                <a:ext uri="{63B3BB69-23CF-44E3-9099-C40C66FF867C}">
                  <a14:compatExt spid="_x0000_s5134"/>
                </a:ext>
                <a:ext uri="{FF2B5EF4-FFF2-40B4-BE49-F238E27FC236}">
                  <a16:creationId xmlns:a16="http://schemas.microsoft.com/office/drawing/2014/main" id="{00000000-0008-0000-02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50800</xdr:colOff>
          <xdr:row>3</xdr:row>
          <xdr:rowOff>222250</xdr:rowOff>
        </xdr:from>
        <xdr:to>
          <xdr:col>26</xdr:col>
          <xdr:colOff>95250</xdr:colOff>
          <xdr:row>5</xdr:row>
          <xdr:rowOff>107950</xdr:rowOff>
        </xdr:to>
        <xdr:sp macro="" textlink="">
          <xdr:nvSpPr>
            <xdr:cNvPr id="5135" name="Check Box 15" descr="&#10;" hidden="1">
              <a:extLst>
                <a:ext uri="{63B3BB69-23CF-44E3-9099-C40C66FF867C}">
                  <a14:compatExt spid="_x0000_s5135"/>
                </a:ext>
                <a:ext uri="{FF2B5EF4-FFF2-40B4-BE49-F238E27FC236}">
                  <a16:creationId xmlns:a16="http://schemas.microsoft.com/office/drawing/2014/main" id="{00000000-0008-0000-02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50800</xdr:colOff>
          <xdr:row>3</xdr:row>
          <xdr:rowOff>222250</xdr:rowOff>
        </xdr:from>
        <xdr:to>
          <xdr:col>26</xdr:col>
          <xdr:colOff>95250</xdr:colOff>
          <xdr:row>5</xdr:row>
          <xdr:rowOff>107950</xdr:rowOff>
        </xdr:to>
        <xdr:sp macro="" textlink="">
          <xdr:nvSpPr>
            <xdr:cNvPr id="5136" name="Check Box 16" descr="&#10;" hidden="1">
              <a:extLst>
                <a:ext uri="{63B3BB69-23CF-44E3-9099-C40C66FF867C}">
                  <a14:compatExt spid="_x0000_s5136"/>
                </a:ext>
                <a:ext uri="{FF2B5EF4-FFF2-40B4-BE49-F238E27FC236}">
                  <a16:creationId xmlns:a16="http://schemas.microsoft.com/office/drawing/2014/main" id="{00000000-0008-0000-02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20</xdr:col>
          <xdr:colOff>50800</xdr:colOff>
          <xdr:row>3</xdr:row>
          <xdr:rowOff>222250</xdr:rowOff>
        </xdr:from>
        <xdr:to>
          <xdr:col>21</xdr:col>
          <xdr:colOff>95250</xdr:colOff>
          <xdr:row>5</xdr:row>
          <xdr:rowOff>107950</xdr:rowOff>
        </xdr:to>
        <xdr:sp macro="" textlink="">
          <xdr:nvSpPr>
            <xdr:cNvPr id="5137" name="Check Box 17" descr="&#10;" hidden="1">
              <a:extLst>
                <a:ext uri="{63B3BB69-23CF-44E3-9099-C40C66FF867C}">
                  <a14:compatExt spid="_x0000_s5137"/>
                </a:ext>
                <a:ext uri="{FF2B5EF4-FFF2-40B4-BE49-F238E27FC236}">
                  <a16:creationId xmlns:a16="http://schemas.microsoft.com/office/drawing/2014/main" id="{00000000-0008-0000-02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15</xdr:col>
          <xdr:colOff>50800</xdr:colOff>
          <xdr:row>3</xdr:row>
          <xdr:rowOff>222250</xdr:rowOff>
        </xdr:from>
        <xdr:to>
          <xdr:col>16</xdr:col>
          <xdr:colOff>95250</xdr:colOff>
          <xdr:row>5</xdr:row>
          <xdr:rowOff>107950</xdr:rowOff>
        </xdr:to>
        <xdr:sp macro="" textlink="">
          <xdr:nvSpPr>
            <xdr:cNvPr id="5138" name="Check Box 18" descr="&#10;" hidden="1">
              <a:extLst>
                <a:ext uri="{63B3BB69-23CF-44E3-9099-C40C66FF867C}">
                  <a14:compatExt spid="_x0000_s5138"/>
                </a:ext>
                <a:ext uri="{FF2B5EF4-FFF2-40B4-BE49-F238E27FC236}">
                  <a16:creationId xmlns:a16="http://schemas.microsoft.com/office/drawing/2014/main" id="{00000000-0008-0000-02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70</xdr:col>
          <xdr:colOff>38100</xdr:colOff>
          <xdr:row>3</xdr:row>
          <xdr:rowOff>222250</xdr:rowOff>
        </xdr:from>
        <xdr:to>
          <xdr:col>71</xdr:col>
          <xdr:colOff>95250</xdr:colOff>
          <xdr:row>5</xdr:row>
          <xdr:rowOff>95250</xdr:rowOff>
        </xdr:to>
        <xdr:sp macro="" textlink="">
          <xdr:nvSpPr>
            <xdr:cNvPr id="5139" name="Check Box 19" descr="&#10;" hidden="1">
              <a:extLst>
                <a:ext uri="{63B3BB69-23CF-44E3-9099-C40C66FF867C}">
                  <a14:compatExt spid="_x0000_s5139"/>
                </a:ext>
                <a:ext uri="{FF2B5EF4-FFF2-40B4-BE49-F238E27FC236}">
                  <a16:creationId xmlns:a16="http://schemas.microsoft.com/office/drawing/2014/main" id="{00000000-0008-0000-02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75</xdr:col>
          <xdr:colOff>38100</xdr:colOff>
          <xdr:row>3</xdr:row>
          <xdr:rowOff>222250</xdr:rowOff>
        </xdr:from>
        <xdr:to>
          <xdr:col>76</xdr:col>
          <xdr:colOff>95250</xdr:colOff>
          <xdr:row>5</xdr:row>
          <xdr:rowOff>95250</xdr:rowOff>
        </xdr:to>
        <xdr:sp macro="" textlink="">
          <xdr:nvSpPr>
            <xdr:cNvPr id="5140" name="Check Box 20" descr="&#10;" hidden="1">
              <a:extLst>
                <a:ext uri="{63B3BB69-23CF-44E3-9099-C40C66FF867C}">
                  <a14:compatExt spid="_x0000_s5140"/>
                </a:ext>
                <a:ext uri="{FF2B5EF4-FFF2-40B4-BE49-F238E27FC236}">
                  <a16:creationId xmlns:a16="http://schemas.microsoft.com/office/drawing/2014/main" id="{00000000-0008-0000-02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80</xdr:col>
          <xdr:colOff>38100</xdr:colOff>
          <xdr:row>3</xdr:row>
          <xdr:rowOff>222250</xdr:rowOff>
        </xdr:from>
        <xdr:to>
          <xdr:col>81</xdr:col>
          <xdr:colOff>95250</xdr:colOff>
          <xdr:row>5</xdr:row>
          <xdr:rowOff>95250</xdr:rowOff>
        </xdr:to>
        <xdr:sp macro="" textlink="">
          <xdr:nvSpPr>
            <xdr:cNvPr id="5141" name="Check Box 21" descr="&#10;" hidden="1">
              <a:extLst>
                <a:ext uri="{63B3BB69-23CF-44E3-9099-C40C66FF867C}">
                  <a14:compatExt spid="_x0000_s5141"/>
                </a:ext>
                <a:ext uri="{FF2B5EF4-FFF2-40B4-BE49-F238E27FC236}">
                  <a16:creationId xmlns:a16="http://schemas.microsoft.com/office/drawing/2014/main" id="{00000000-0008-0000-02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85</xdr:col>
          <xdr:colOff>38100</xdr:colOff>
          <xdr:row>3</xdr:row>
          <xdr:rowOff>222250</xdr:rowOff>
        </xdr:from>
        <xdr:to>
          <xdr:col>86</xdr:col>
          <xdr:colOff>95250</xdr:colOff>
          <xdr:row>5</xdr:row>
          <xdr:rowOff>95250</xdr:rowOff>
        </xdr:to>
        <xdr:sp macro="" textlink="">
          <xdr:nvSpPr>
            <xdr:cNvPr id="5142" name="Check Box 22" descr="&#10;" hidden="1">
              <a:extLst>
                <a:ext uri="{63B3BB69-23CF-44E3-9099-C40C66FF867C}">
                  <a14:compatExt spid="_x0000_s5142"/>
                </a:ext>
                <a:ext uri="{FF2B5EF4-FFF2-40B4-BE49-F238E27FC236}">
                  <a16:creationId xmlns:a16="http://schemas.microsoft.com/office/drawing/2014/main" id="{00000000-0008-0000-02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90</xdr:col>
          <xdr:colOff>38100</xdr:colOff>
          <xdr:row>3</xdr:row>
          <xdr:rowOff>222250</xdr:rowOff>
        </xdr:from>
        <xdr:to>
          <xdr:col>91</xdr:col>
          <xdr:colOff>95250</xdr:colOff>
          <xdr:row>5</xdr:row>
          <xdr:rowOff>95250</xdr:rowOff>
        </xdr:to>
        <xdr:sp macro="" textlink="">
          <xdr:nvSpPr>
            <xdr:cNvPr id="5143" name="Check Box 23" descr="&#10;" hidden="1">
              <a:extLst>
                <a:ext uri="{63B3BB69-23CF-44E3-9099-C40C66FF867C}">
                  <a14:compatExt spid="_x0000_s5143"/>
                </a:ext>
                <a:ext uri="{FF2B5EF4-FFF2-40B4-BE49-F238E27FC236}">
                  <a16:creationId xmlns:a16="http://schemas.microsoft.com/office/drawing/2014/main" id="{00000000-0008-0000-02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twoCellAnchor editAs="oneCell">
    <xdr:from>
      <xdr:col>1</xdr:col>
      <xdr:colOff>152401</xdr:colOff>
      <xdr:row>0</xdr:row>
      <xdr:rowOff>0</xdr:rowOff>
    </xdr:from>
    <xdr:to>
      <xdr:col>2</xdr:col>
      <xdr:colOff>1533526</xdr:colOff>
      <xdr:row>3</xdr:row>
      <xdr:rowOff>257175</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3376" y="0"/>
          <a:ext cx="1562100" cy="1562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29</xdr:col>
      <xdr:colOff>0</xdr:colOff>
      <xdr:row>1</xdr:row>
      <xdr:rowOff>0</xdr:rowOff>
    </xdr:from>
    <xdr:to>
      <xdr:col>35</xdr:col>
      <xdr:colOff>0</xdr:colOff>
      <xdr:row>1</xdr:row>
      <xdr:rowOff>489857</xdr:rowOff>
    </xdr:to>
    <xdr:sp macro="" textlink="">
      <xdr:nvSpPr>
        <xdr:cNvPr id="2" name="Rectángulo: esquinas redondeadas 1">
          <a:extLst>
            <a:ext uri="{FF2B5EF4-FFF2-40B4-BE49-F238E27FC236}">
              <a16:creationId xmlns:a16="http://schemas.microsoft.com/office/drawing/2014/main" id="{00000000-0008-0000-0300-000002000000}"/>
            </a:ext>
          </a:extLst>
        </xdr:cNvPr>
        <xdr:cNvSpPr/>
      </xdr:nvSpPr>
      <xdr:spPr>
        <a:xfrm>
          <a:off x="19269075" y="190500"/>
          <a:ext cx="4010025" cy="489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2021</a:t>
          </a:r>
          <a:r>
            <a:rPr lang="es-MX" sz="1050" baseline="0"/>
            <a:t> - 10.075%</a:t>
          </a:r>
        </a:p>
        <a:p>
          <a:pPr algn="ctr"/>
          <a:endParaRPr lang="es-MX" sz="1100"/>
        </a:p>
      </xdr:txBody>
    </xdr:sp>
    <xdr:clientData/>
  </xdr:twoCellAnchor>
  <xdr:twoCellAnchor>
    <xdr:from>
      <xdr:col>35</xdr:col>
      <xdr:colOff>178254</xdr:colOff>
      <xdr:row>0</xdr:row>
      <xdr:rowOff>168728</xdr:rowOff>
    </xdr:from>
    <xdr:to>
      <xdr:col>42</xdr:col>
      <xdr:colOff>17690</xdr:colOff>
      <xdr:row>1</xdr:row>
      <xdr:rowOff>469446</xdr:rowOff>
    </xdr:to>
    <xdr:sp macro="" textlink="">
      <xdr:nvSpPr>
        <xdr:cNvPr id="3" name="Rectángulo: esquinas redondeadas 2">
          <a:extLst>
            <a:ext uri="{FF2B5EF4-FFF2-40B4-BE49-F238E27FC236}">
              <a16:creationId xmlns:a16="http://schemas.microsoft.com/office/drawing/2014/main" id="{00000000-0008-0000-0300-000003000000}"/>
            </a:ext>
          </a:extLst>
        </xdr:cNvPr>
        <xdr:cNvSpPr/>
      </xdr:nvSpPr>
      <xdr:spPr>
        <a:xfrm>
          <a:off x="24038379" y="168728"/>
          <a:ext cx="4592411"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2022</a:t>
          </a:r>
          <a:r>
            <a:rPr lang="es-MX" sz="1050" baseline="0"/>
            <a:t> - 10.075%</a:t>
          </a:r>
        </a:p>
        <a:p>
          <a:pPr algn="ctr"/>
          <a:endParaRPr lang="es-MX" sz="1100"/>
        </a:p>
      </xdr:txBody>
    </xdr:sp>
    <xdr:clientData/>
  </xdr:twoCellAnchor>
  <xdr:twoCellAnchor>
    <xdr:from>
      <xdr:col>22</xdr:col>
      <xdr:colOff>0</xdr:colOff>
      <xdr:row>1</xdr:row>
      <xdr:rowOff>0</xdr:rowOff>
    </xdr:from>
    <xdr:to>
      <xdr:col>28</xdr:col>
      <xdr:colOff>0</xdr:colOff>
      <xdr:row>1</xdr:row>
      <xdr:rowOff>489857</xdr:rowOff>
    </xdr:to>
    <xdr:sp macro="" textlink="">
      <xdr:nvSpPr>
        <xdr:cNvPr id="5" name="Rectángulo: esquinas redondeadas 4">
          <a:extLst>
            <a:ext uri="{FF2B5EF4-FFF2-40B4-BE49-F238E27FC236}">
              <a16:creationId xmlns:a16="http://schemas.microsoft.com/office/drawing/2014/main" id="{00000000-0008-0000-0300-000005000000}"/>
            </a:ext>
          </a:extLst>
        </xdr:cNvPr>
        <xdr:cNvSpPr/>
      </xdr:nvSpPr>
      <xdr:spPr>
        <a:xfrm>
          <a:off x="14497050" y="190500"/>
          <a:ext cx="4010025" cy="489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2020</a:t>
          </a:r>
          <a:r>
            <a:rPr lang="es-MX" sz="1050" baseline="0"/>
            <a:t> - 10.075%</a:t>
          </a:r>
        </a:p>
        <a:p>
          <a:pPr algn="ctr"/>
          <a:endParaRPr lang="es-MX" sz="1100"/>
        </a:p>
      </xdr:txBody>
    </xdr:sp>
    <xdr:clientData/>
  </xdr:twoCellAnchor>
  <xdr:twoCellAnchor>
    <xdr:from>
      <xdr:col>15</xdr:col>
      <xdr:colOff>0</xdr:colOff>
      <xdr:row>1</xdr:row>
      <xdr:rowOff>0</xdr:rowOff>
    </xdr:from>
    <xdr:to>
      <xdr:col>21</xdr:col>
      <xdr:colOff>0</xdr:colOff>
      <xdr:row>1</xdr:row>
      <xdr:rowOff>489857</xdr:rowOff>
    </xdr:to>
    <xdr:sp macro="" textlink="">
      <xdr:nvSpPr>
        <xdr:cNvPr id="7" name="Rectángulo: esquinas redondeadas 6">
          <a:extLst>
            <a:ext uri="{FF2B5EF4-FFF2-40B4-BE49-F238E27FC236}">
              <a16:creationId xmlns:a16="http://schemas.microsoft.com/office/drawing/2014/main" id="{00000000-0008-0000-0300-000007000000}"/>
            </a:ext>
          </a:extLst>
        </xdr:cNvPr>
        <xdr:cNvSpPr/>
      </xdr:nvSpPr>
      <xdr:spPr>
        <a:xfrm>
          <a:off x="9725025" y="190500"/>
          <a:ext cx="4010025" cy="489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2019</a:t>
          </a:r>
          <a:r>
            <a:rPr lang="es-MX" sz="1050" baseline="0"/>
            <a:t> - 10.075%</a:t>
          </a:r>
        </a:p>
        <a:p>
          <a:pPr algn="ctr"/>
          <a:endParaRPr lang="es-MX" sz="1100"/>
        </a:p>
      </xdr:txBody>
    </xdr:sp>
    <xdr:clientData/>
  </xdr:twoCellAnchor>
  <xdr:twoCellAnchor>
    <xdr:from>
      <xdr:col>8</xdr:col>
      <xdr:colOff>0</xdr:colOff>
      <xdr:row>1</xdr:row>
      <xdr:rowOff>0</xdr:rowOff>
    </xdr:from>
    <xdr:to>
      <xdr:col>14</xdr:col>
      <xdr:colOff>0</xdr:colOff>
      <xdr:row>1</xdr:row>
      <xdr:rowOff>489857</xdr:rowOff>
    </xdr:to>
    <xdr:sp macro="" textlink="">
      <xdr:nvSpPr>
        <xdr:cNvPr id="4" name="Rectángulo: esquinas redondeadas 3">
          <a:extLst>
            <a:ext uri="{FF2B5EF4-FFF2-40B4-BE49-F238E27FC236}">
              <a16:creationId xmlns:a16="http://schemas.microsoft.com/office/drawing/2014/main" id="{00000000-0008-0000-0300-000004000000}"/>
            </a:ext>
          </a:extLst>
        </xdr:cNvPr>
        <xdr:cNvSpPr/>
      </xdr:nvSpPr>
      <xdr:spPr>
        <a:xfrm>
          <a:off x="4953000" y="190500"/>
          <a:ext cx="4010025" cy="489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2018</a:t>
          </a:r>
          <a:r>
            <a:rPr lang="es-MX" sz="1050" baseline="0"/>
            <a:t> - 10.075%</a:t>
          </a:r>
        </a:p>
        <a:p>
          <a:pPr algn="ctr"/>
          <a:endParaRPr lang="es-MX" sz="1100"/>
        </a:p>
      </xdr:txBody>
    </xdr:sp>
    <xdr:clientData/>
  </xdr:twoCellAnchor>
  <xdr:twoCellAnchor>
    <xdr:from>
      <xdr:col>1</xdr:col>
      <xdr:colOff>0</xdr:colOff>
      <xdr:row>1</xdr:row>
      <xdr:rowOff>0</xdr:rowOff>
    </xdr:from>
    <xdr:to>
      <xdr:col>7</xdr:col>
      <xdr:colOff>0</xdr:colOff>
      <xdr:row>1</xdr:row>
      <xdr:rowOff>489857</xdr:rowOff>
    </xdr:to>
    <xdr:sp macro="" textlink="">
      <xdr:nvSpPr>
        <xdr:cNvPr id="6" name="Rectángulo: esquinas redondeadas 5">
          <a:extLst>
            <a:ext uri="{FF2B5EF4-FFF2-40B4-BE49-F238E27FC236}">
              <a16:creationId xmlns:a16="http://schemas.microsoft.com/office/drawing/2014/main" id="{00000000-0008-0000-0300-000006000000}"/>
            </a:ext>
          </a:extLst>
        </xdr:cNvPr>
        <xdr:cNvSpPr/>
      </xdr:nvSpPr>
      <xdr:spPr>
        <a:xfrm>
          <a:off x="180975" y="190500"/>
          <a:ext cx="4010025" cy="48985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2017</a:t>
          </a:r>
          <a:r>
            <a:rPr lang="es-MX" sz="1050" baseline="0"/>
            <a:t> - 10.075%</a:t>
          </a:r>
        </a:p>
        <a:p>
          <a:pPr algn="ctr"/>
          <a:endParaRPr lang="es-MX" sz="1100"/>
        </a:p>
      </xdr:txBody>
    </xdr:sp>
    <xdr:clientData/>
  </xdr:twoCellAnchor>
  <xdr:twoCellAnchor>
    <xdr:from>
      <xdr:col>43</xdr:col>
      <xdr:colOff>16329</xdr:colOff>
      <xdr:row>1</xdr:row>
      <xdr:rowOff>16328</xdr:rowOff>
    </xdr:from>
    <xdr:to>
      <xdr:col>49</xdr:col>
      <xdr:colOff>36740</xdr:colOff>
      <xdr:row>2</xdr:row>
      <xdr:rowOff>2721</xdr:rowOff>
    </xdr:to>
    <xdr:sp macro="" textlink="">
      <xdr:nvSpPr>
        <xdr:cNvPr id="8" name="Rectángulo: esquinas redondeadas 7">
          <a:extLst>
            <a:ext uri="{FF2B5EF4-FFF2-40B4-BE49-F238E27FC236}">
              <a16:creationId xmlns:a16="http://schemas.microsoft.com/office/drawing/2014/main" id="{00000000-0008-0000-0300-000008000000}"/>
            </a:ext>
          </a:extLst>
        </xdr:cNvPr>
        <xdr:cNvSpPr/>
      </xdr:nvSpPr>
      <xdr:spPr>
        <a:xfrm>
          <a:off x="28810404" y="206828"/>
          <a:ext cx="4011386"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2023</a:t>
          </a:r>
          <a:r>
            <a:rPr lang="es-MX" sz="1050" baseline="0"/>
            <a:t> - 11.166%</a:t>
          </a:r>
        </a:p>
        <a:p>
          <a:pPr algn="ctr"/>
          <a:endParaRPr lang="es-MX" sz="1100"/>
        </a:p>
      </xdr:txBody>
    </xdr:sp>
    <xdr:clientData/>
  </xdr:twoCellAnchor>
  <xdr:twoCellAnchor>
    <xdr:from>
      <xdr:col>50</xdr:col>
      <xdr:colOff>16329</xdr:colOff>
      <xdr:row>1</xdr:row>
      <xdr:rowOff>16328</xdr:rowOff>
    </xdr:from>
    <xdr:to>
      <xdr:col>56</xdr:col>
      <xdr:colOff>36740</xdr:colOff>
      <xdr:row>2</xdr:row>
      <xdr:rowOff>2721</xdr:rowOff>
    </xdr:to>
    <xdr:sp macro="" textlink="">
      <xdr:nvSpPr>
        <xdr:cNvPr id="9" name="Rectángulo: esquinas redondeadas 8">
          <a:extLst>
            <a:ext uri="{FF2B5EF4-FFF2-40B4-BE49-F238E27FC236}">
              <a16:creationId xmlns:a16="http://schemas.microsoft.com/office/drawing/2014/main" id="{00000000-0008-0000-0300-000009000000}"/>
            </a:ext>
          </a:extLst>
        </xdr:cNvPr>
        <xdr:cNvSpPr/>
      </xdr:nvSpPr>
      <xdr:spPr>
        <a:xfrm>
          <a:off x="28810404" y="206828"/>
          <a:ext cx="4592411"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2024</a:t>
          </a:r>
          <a:r>
            <a:rPr lang="es-MX" sz="1050" baseline="0"/>
            <a:t> - 12.256%</a:t>
          </a:r>
        </a:p>
        <a:p>
          <a:pPr algn="ctr"/>
          <a:endParaRPr lang="es-MX" sz="1100"/>
        </a:p>
      </xdr:txBody>
    </xdr:sp>
    <xdr:clientData/>
  </xdr:twoCellAnchor>
  <xdr:twoCellAnchor>
    <xdr:from>
      <xdr:col>57</xdr:col>
      <xdr:colOff>16329</xdr:colOff>
      <xdr:row>1</xdr:row>
      <xdr:rowOff>16328</xdr:rowOff>
    </xdr:from>
    <xdr:to>
      <xdr:col>63</xdr:col>
      <xdr:colOff>36740</xdr:colOff>
      <xdr:row>2</xdr:row>
      <xdr:rowOff>2721</xdr:rowOff>
    </xdr:to>
    <xdr:sp macro="" textlink="">
      <xdr:nvSpPr>
        <xdr:cNvPr id="10" name="Rectángulo: esquinas redondeadas 9">
          <a:extLst>
            <a:ext uri="{FF2B5EF4-FFF2-40B4-BE49-F238E27FC236}">
              <a16:creationId xmlns:a16="http://schemas.microsoft.com/office/drawing/2014/main" id="{00000000-0008-0000-0300-00000A000000}"/>
            </a:ext>
          </a:extLst>
        </xdr:cNvPr>
        <xdr:cNvSpPr/>
      </xdr:nvSpPr>
      <xdr:spPr>
        <a:xfrm>
          <a:off x="28810404" y="206828"/>
          <a:ext cx="4592411"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2025</a:t>
          </a:r>
          <a:r>
            <a:rPr lang="es-MX" sz="1050" baseline="0"/>
            <a:t> -  13.347%</a:t>
          </a:r>
        </a:p>
        <a:p>
          <a:pPr algn="ctr"/>
          <a:endParaRPr lang="es-MX" sz="1050" baseline="0"/>
        </a:p>
        <a:p>
          <a:pPr algn="ctr"/>
          <a:r>
            <a:rPr lang="es-MX" sz="1050" baseline="0"/>
            <a:t>%</a:t>
          </a:r>
        </a:p>
        <a:p>
          <a:pPr algn="ctr"/>
          <a:endParaRPr lang="es-MX" sz="1100"/>
        </a:p>
      </xdr:txBody>
    </xdr:sp>
    <xdr:clientData/>
  </xdr:twoCellAnchor>
  <xdr:twoCellAnchor>
    <xdr:from>
      <xdr:col>64</xdr:col>
      <xdr:colOff>16329</xdr:colOff>
      <xdr:row>1</xdr:row>
      <xdr:rowOff>16328</xdr:rowOff>
    </xdr:from>
    <xdr:to>
      <xdr:col>70</xdr:col>
      <xdr:colOff>36740</xdr:colOff>
      <xdr:row>2</xdr:row>
      <xdr:rowOff>2721</xdr:rowOff>
    </xdr:to>
    <xdr:sp macro="" textlink="">
      <xdr:nvSpPr>
        <xdr:cNvPr id="11" name="Rectángulo: esquinas redondeadas 10">
          <a:extLst>
            <a:ext uri="{FF2B5EF4-FFF2-40B4-BE49-F238E27FC236}">
              <a16:creationId xmlns:a16="http://schemas.microsoft.com/office/drawing/2014/main" id="{00000000-0008-0000-0300-00000B000000}"/>
            </a:ext>
          </a:extLst>
        </xdr:cNvPr>
        <xdr:cNvSpPr/>
      </xdr:nvSpPr>
      <xdr:spPr>
        <a:xfrm>
          <a:off x="28810404" y="206828"/>
          <a:ext cx="4592411"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2026</a:t>
          </a:r>
          <a:r>
            <a:rPr lang="es-MX" sz="1050" baseline="0"/>
            <a:t> - 14.438%</a:t>
          </a:r>
        </a:p>
        <a:p>
          <a:pPr algn="ctr"/>
          <a:endParaRPr lang="es-MX" sz="1100"/>
        </a:p>
      </xdr:txBody>
    </xdr:sp>
    <xdr:clientData/>
  </xdr:twoCellAnchor>
  <xdr:twoCellAnchor>
    <xdr:from>
      <xdr:col>71</xdr:col>
      <xdr:colOff>16329</xdr:colOff>
      <xdr:row>1</xdr:row>
      <xdr:rowOff>16328</xdr:rowOff>
    </xdr:from>
    <xdr:to>
      <xdr:col>77</xdr:col>
      <xdr:colOff>36740</xdr:colOff>
      <xdr:row>2</xdr:row>
      <xdr:rowOff>2721</xdr:rowOff>
    </xdr:to>
    <xdr:sp macro="" textlink="">
      <xdr:nvSpPr>
        <xdr:cNvPr id="12" name="Rectángulo: esquinas redondeadas 11">
          <a:extLst>
            <a:ext uri="{FF2B5EF4-FFF2-40B4-BE49-F238E27FC236}">
              <a16:creationId xmlns:a16="http://schemas.microsoft.com/office/drawing/2014/main" id="{00000000-0008-0000-0300-00000C000000}"/>
            </a:ext>
          </a:extLst>
        </xdr:cNvPr>
        <xdr:cNvSpPr/>
      </xdr:nvSpPr>
      <xdr:spPr>
        <a:xfrm>
          <a:off x="43069329" y="206828"/>
          <a:ext cx="4592411"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2027</a:t>
          </a:r>
          <a:r>
            <a:rPr lang="es-MX" sz="1050" baseline="0"/>
            <a:t> - 15.528%</a:t>
          </a:r>
        </a:p>
        <a:p>
          <a:pPr algn="ctr"/>
          <a:endParaRPr lang="es-MX" sz="1050" baseline="0"/>
        </a:p>
        <a:p>
          <a:pPr algn="ctr"/>
          <a:endParaRPr lang="es-MX" sz="1100"/>
        </a:p>
      </xdr:txBody>
    </xdr:sp>
    <xdr:clientData/>
  </xdr:twoCellAnchor>
  <xdr:twoCellAnchor>
    <xdr:from>
      <xdr:col>78</xdr:col>
      <xdr:colOff>16329</xdr:colOff>
      <xdr:row>1</xdr:row>
      <xdr:rowOff>16328</xdr:rowOff>
    </xdr:from>
    <xdr:to>
      <xdr:col>84</xdr:col>
      <xdr:colOff>36740</xdr:colOff>
      <xdr:row>2</xdr:row>
      <xdr:rowOff>2721</xdr:rowOff>
    </xdr:to>
    <xdr:sp macro="" textlink="">
      <xdr:nvSpPr>
        <xdr:cNvPr id="13" name="Rectángulo: esquinas redondeadas 12">
          <a:extLst>
            <a:ext uri="{FF2B5EF4-FFF2-40B4-BE49-F238E27FC236}">
              <a16:creationId xmlns:a16="http://schemas.microsoft.com/office/drawing/2014/main" id="{00000000-0008-0000-0300-00000D000000}"/>
            </a:ext>
          </a:extLst>
        </xdr:cNvPr>
        <xdr:cNvSpPr/>
      </xdr:nvSpPr>
      <xdr:spPr>
        <a:xfrm>
          <a:off x="43069329" y="206828"/>
          <a:ext cx="4592411"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2028</a:t>
          </a:r>
          <a:r>
            <a:rPr lang="es-MX" sz="1050" baseline="0"/>
            <a:t> - 16.619%</a:t>
          </a:r>
        </a:p>
        <a:p>
          <a:pPr algn="ctr"/>
          <a:endParaRPr lang="es-MX" sz="1100"/>
        </a:p>
      </xdr:txBody>
    </xdr:sp>
    <xdr:clientData/>
  </xdr:twoCellAnchor>
  <xdr:twoCellAnchor>
    <xdr:from>
      <xdr:col>84</xdr:col>
      <xdr:colOff>178254</xdr:colOff>
      <xdr:row>1</xdr:row>
      <xdr:rowOff>16328</xdr:rowOff>
    </xdr:from>
    <xdr:to>
      <xdr:col>91</xdr:col>
      <xdr:colOff>17690</xdr:colOff>
      <xdr:row>2</xdr:row>
      <xdr:rowOff>2721</xdr:rowOff>
    </xdr:to>
    <xdr:sp macro="" textlink="">
      <xdr:nvSpPr>
        <xdr:cNvPr id="14" name="Rectángulo: esquinas redondeadas 13">
          <a:extLst>
            <a:ext uri="{FF2B5EF4-FFF2-40B4-BE49-F238E27FC236}">
              <a16:creationId xmlns:a16="http://schemas.microsoft.com/office/drawing/2014/main" id="{00000000-0008-0000-0300-00000E000000}"/>
            </a:ext>
          </a:extLst>
        </xdr:cNvPr>
        <xdr:cNvSpPr/>
      </xdr:nvSpPr>
      <xdr:spPr>
        <a:xfrm>
          <a:off x="57309204" y="206828"/>
          <a:ext cx="4592411"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202</a:t>
          </a:r>
          <a:r>
            <a:rPr lang="es-MX" sz="1050" baseline="0"/>
            <a:t>9 - 17.709%</a:t>
          </a:r>
        </a:p>
        <a:p>
          <a:pPr algn="ctr"/>
          <a:endParaRPr lang="es-MX" sz="1100"/>
        </a:p>
      </xdr:txBody>
    </xdr:sp>
    <xdr:clientData/>
  </xdr:twoCellAnchor>
  <xdr:twoCellAnchor>
    <xdr:from>
      <xdr:col>91</xdr:col>
      <xdr:colOff>178254</xdr:colOff>
      <xdr:row>1</xdr:row>
      <xdr:rowOff>16328</xdr:rowOff>
    </xdr:from>
    <xdr:to>
      <xdr:col>98</xdr:col>
      <xdr:colOff>17690</xdr:colOff>
      <xdr:row>2</xdr:row>
      <xdr:rowOff>2721</xdr:rowOff>
    </xdr:to>
    <xdr:sp macro="" textlink="">
      <xdr:nvSpPr>
        <xdr:cNvPr id="15" name="Rectángulo: esquinas redondeadas 14">
          <a:extLst>
            <a:ext uri="{FF2B5EF4-FFF2-40B4-BE49-F238E27FC236}">
              <a16:creationId xmlns:a16="http://schemas.microsoft.com/office/drawing/2014/main" id="{00000000-0008-0000-0300-00000F000000}"/>
            </a:ext>
          </a:extLst>
        </xdr:cNvPr>
        <xdr:cNvSpPr/>
      </xdr:nvSpPr>
      <xdr:spPr>
        <a:xfrm>
          <a:off x="57309204" y="206828"/>
          <a:ext cx="4592411" cy="4912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2030</a:t>
          </a:r>
          <a:r>
            <a:rPr lang="es-MX" sz="1050" baseline="0"/>
            <a:t> - 18.8%</a:t>
          </a:r>
        </a:p>
        <a:p>
          <a:pPr algn="ctr"/>
          <a:endParaRPr lang="es-MX" sz="1100"/>
        </a:p>
      </xdr:txBody>
    </xdr:sp>
    <xdr:clientData/>
  </xdr:twoCellAnchor>
  <xdr:twoCellAnchor>
    <xdr:from>
      <xdr:col>98</xdr:col>
      <xdr:colOff>178254</xdr:colOff>
      <xdr:row>1</xdr:row>
      <xdr:rowOff>16328</xdr:rowOff>
    </xdr:from>
    <xdr:to>
      <xdr:col>105</xdr:col>
      <xdr:colOff>17690</xdr:colOff>
      <xdr:row>2</xdr:row>
      <xdr:rowOff>2721</xdr:rowOff>
    </xdr:to>
    <xdr:sp macro="" textlink="">
      <xdr:nvSpPr>
        <xdr:cNvPr id="17" name="Rectángulo: esquinas redondeadas 16">
          <a:extLst>
            <a:ext uri="{FF2B5EF4-FFF2-40B4-BE49-F238E27FC236}">
              <a16:creationId xmlns:a16="http://schemas.microsoft.com/office/drawing/2014/main" id="{00000000-0008-0000-0300-000011000000}"/>
            </a:ext>
          </a:extLst>
        </xdr:cNvPr>
        <xdr:cNvSpPr/>
      </xdr:nvSpPr>
      <xdr:spPr>
        <a:xfrm>
          <a:off x="62059004" y="206828"/>
          <a:ext cx="5035853" cy="4943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2031</a:t>
          </a:r>
          <a:r>
            <a:rPr lang="es-MX" sz="1050" baseline="0"/>
            <a:t> - 18.8%</a:t>
          </a:r>
        </a:p>
        <a:p>
          <a:pPr algn="ctr"/>
          <a:endParaRPr lang="es-MX" sz="1100"/>
        </a:p>
      </xdr:txBody>
    </xdr:sp>
    <xdr:clientData/>
  </xdr:twoCellAnchor>
  <xdr:twoCellAnchor>
    <xdr:from>
      <xdr:col>105</xdr:col>
      <xdr:colOff>178254</xdr:colOff>
      <xdr:row>1</xdr:row>
      <xdr:rowOff>16328</xdr:rowOff>
    </xdr:from>
    <xdr:to>
      <xdr:col>112</xdr:col>
      <xdr:colOff>17690</xdr:colOff>
      <xdr:row>2</xdr:row>
      <xdr:rowOff>2721</xdr:rowOff>
    </xdr:to>
    <xdr:sp macro="" textlink="">
      <xdr:nvSpPr>
        <xdr:cNvPr id="18" name="Rectángulo: esquinas redondeadas 17">
          <a:extLst>
            <a:ext uri="{FF2B5EF4-FFF2-40B4-BE49-F238E27FC236}">
              <a16:creationId xmlns:a16="http://schemas.microsoft.com/office/drawing/2014/main" id="{00000000-0008-0000-0300-000012000000}"/>
            </a:ext>
          </a:extLst>
        </xdr:cNvPr>
        <xdr:cNvSpPr/>
      </xdr:nvSpPr>
      <xdr:spPr>
        <a:xfrm>
          <a:off x="67255421" y="206828"/>
          <a:ext cx="5035852" cy="4943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2032</a:t>
          </a:r>
          <a:r>
            <a:rPr lang="es-MX" sz="1050" baseline="0"/>
            <a:t> - 18.8%</a:t>
          </a:r>
        </a:p>
        <a:p>
          <a:pPr algn="ctr"/>
          <a:endParaRPr lang="es-MX" sz="1100"/>
        </a:p>
      </xdr:txBody>
    </xdr:sp>
    <xdr:clientData/>
  </xdr:twoCellAnchor>
  <xdr:twoCellAnchor>
    <xdr:from>
      <xdr:col>112</xdr:col>
      <xdr:colOff>178254</xdr:colOff>
      <xdr:row>1</xdr:row>
      <xdr:rowOff>16328</xdr:rowOff>
    </xdr:from>
    <xdr:to>
      <xdr:col>119</xdr:col>
      <xdr:colOff>17690</xdr:colOff>
      <xdr:row>2</xdr:row>
      <xdr:rowOff>2721</xdr:rowOff>
    </xdr:to>
    <xdr:sp macro="" textlink="">
      <xdr:nvSpPr>
        <xdr:cNvPr id="19" name="Rectángulo: esquinas redondeadas 18">
          <a:extLst>
            <a:ext uri="{FF2B5EF4-FFF2-40B4-BE49-F238E27FC236}">
              <a16:creationId xmlns:a16="http://schemas.microsoft.com/office/drawing/2014/main" id="{00000000-0008-0000-0300-000013000000}"/>
            </a:ext>
          </a:extLst>
        </xdr:cNvPr>
        <xdr:cNvSpPr/>
      </xdr:nvSpPr>
      <xdr:spPr>
        <a:xfrm>
          <a:off x="72451837" y="206828"/>
          <a:ext cx="5035853" cy="4943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2033</a:t>
          </a:r>
          <a:r>
            <a:rPr lang="es-MX" sz="1050" baseline="0"/>
            <a:t> - 18.8%</a:t>
          </a:r>
        </a:p>
        <a:p>
          <a:pPr algn="ctr"/>
          <a:endParaRPr lang="es-MX" sz="1100"/>
        </a:p>
      </xdr:txBody>
    </xdr:sp>
    <xdr:clientData/>
  </xdr:twoCellAnchor>
  <xdr:twoCellAnchor>
    <xdr:from>
      <xdr:col>119</xdr:col>
      <xdr:colOff>178254</xdr:colOff>
      <xdr:row>1</xdr:row>
      <xdr:rowOff>16328</xdr:rowOff>
    </xdr:from>
    <xdr:to>
      <xdr:col>126</xdr:col>
      <xdr:colOff>17690</xdr:colOff>
      <xdr:row>2</xdr:row>
      <xdr:rowOff>2721</xdr:rowOff>
    </xdr:to>
    <xdr:sp macro="" textlink="">
      <xdr:nvSpPr>
        <xdr:cNvPr id="21" name="Rectángulo: esquinas redondeadas 20">
          <a:extLst>
            <a:ext uri="{FF2B5EF4-FFF2-40B4-BE49-F238E27FC236}">
              <a16:creationId xmlns:a16="http://schemas.microsoft.com/office/drawing/2014/main" id="{00000000-0008-0000-0300-000015000000}"/>
            </a:ext>
          </a:extLst>
        </xdr:cNvPr>
        <xdr:cNvSpPr/>
      </xdr:nvSpPr>
      <xdr:spPr>
        <a:xfrm>
          <a:off x="77648254" y="206828"/>
          <a:ext cx="5035853" cy="4943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2034</a:t>
          </a:r>
          <a:r>
            <a:rPr lang="es-MX" sz="1050" baseline="0"/>
            <a:t> - 18.8%</a:t>
          </a:r>
        </a:p>
        <a:p>
          <a:pPr algn="ctr"/>
          <a:endParaRPr lang="es-MX" sz="1100"/>
        </a:p>
      </xdr:txBody>
    </xdr:sp>
    <xdr:clientData/>
  </xdr:twoCellAnchor>
  <xdr:twoCellAnchor>
    <xdr:from>
      <xdr:col>126</xdr:col>
      <xdr:colOff>178254</xdr:colOff>
      <xdr:row>1</xdr:row>
      <xdr:rowOff>16328</xdr:rowOff>
    </xdr:from>
    <xdr:to>
      <xdr:col>133</xdr:col>
      <xdr:colOff>17690</xdr:colOff>
      <xdr:row>2</xdr:row>
      <xdr:rowOff>2721</xdr:rowOff>
    </xdr:to>
    <xdr:sp macro="" textlink="">
      <xdr:nvSpPr>
        <xdr:cNvPr id="22" name="Rectángulo: esquinas redondeadas 21">
          <a:extLst>
            <a:ext uri="{FF2B5EF4-FFF2-40B4-BE49-F238E27FC236}">
              <a16:creationId xmlns:a16="http://schemas.microsoft.com/office/drawing/2014/main" id="{00000000-0008-0000-0300-000016000000}"/>
            </a:ext>
          </a:extLst>
        </xdr:cNvPr>
        <xdr:cNvSpPr/>
      </xdr:nvSpPr>
      <xdr:spPr>
        <a:xfrm>
          <a:off x="82844671" y="206828"/>
          <a:ext cx="5035852" cy="4943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050"/>
            <a:t>TABLA DE PAGOS MODALIDAD 40</a:t>
          </a:r>
        </a:p>
        <a:p>
          <a:pPr algn="ctr"/>
          <a:r>
            <a:rPr lang="es-MX" sz="1050"/>
            <a:t>2035</a:t>
          </a:r>
          <a:r>
            <a:rPr lang="es-MX" sz="1050" baseline="0"/>
            <a:t> - 18.8%</a:t>
          </a:r>
        </a:p>
        <a:p>
          <a:pPr algn="ctr"/>
          <a:endParaRPr lang="es-MX" sz="1100"/>
        </a:p>
      </xdr:txBody>
    </xdr:sp>
    <xdr:clientData/>
  </xdr:twoCellAnchor>
</xdr:wsDr>
</file>

<file path=xl/drawings/drawing5.xml><?xml version="1.0" encoding="utf-8"?>
<xdr:wsDr xmlns:xdr="http://schemas.openxmlformats.org/drawingml/2006/spreadsheetDrawing" xmlns:a="http://schemas.openxmlformats.org/drawingml/2006/main">
  <xdr:absoluteAnchor>
    <xdr:pos x="0" y="0"/>
    <xdr:ext cx="8663697" cy="6282447"/>
    <xdr:graphicFrame macro="">
      <xdr:nvGraphicFramePr>
        <xdr:cNvPr id="2" name="Gráfico 1">
          <a:extLst>
            <a:ext uri="{FF2B5EF4-FFF2-40B4-BE49-F238E27FC236}">
              <a16:creationId xmlns:a16="http://schemas.microsoft.com/office/drawing/2014/main" id="{00000000-0008-0000-0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9525</xdr:colOff>
      <xdr:row>1</xdr:row>
      <xdr:rowOff>495300</xdr:rowOff>
    </xdr:to>
    <xdr:sp macro="" textlink="">
      <xdr:nvSpPr>
        <xdr:cNvPr id="2" name="Rectangle: Rounded Corners 1">
          <a:extLst>
            <a:ext uri="{FF2B5EF4-FFF2-40B4-BE49-F238E27FC236}">
              <a16:creationId xmlns:a16="http://schemas.microsoft.com/office/drawing/2014/main" id="{00000000-0008-0000-0600-000002000000}"/>
            </a:ext>
          </a:extLst>
        </xdr:cNvPr>
        <xdr:cNvSpPr/>
      </xdr:nvSpPr>
      <xdr:spPr>
        <a:xfrm>
          <a:off x="180975" y="190500"/>
          <a:ext cx="9458325" cy="4953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TABLA</a:t>
          </a:r>
          <a:r>
            <a:rPr lang="en-US" sz="1200" b="1" baseline="0"/>
            <a:t>S AUXILIARES LEY '73</a:t>
          </a:r>
          <a:endParaRPr lang="en-US" sz="1200" b="1"/>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D9E48E-5639-4289-B72A-FDB70D395D17}" name="Tabla1" displayName="Tabla1" ref="J5:L12" totalsRowShown="0" headerRowDxfId="4" tableBorderDxfId="3">
  <autoFilter ref="J5:L12" xr:uid="{E7D9E48E-5639-4289-B72A-FDB70D395D17}">
    <filterColumn colId="0" hiddenButton="1"/>
    <filterColumn colId="1" hiddenButton="1"/>
    <filterColumn colId="2" hiddenButton="1"/>
  </autoFilter>
  <tableColumns count="3">
    <tableColumn id="1" xr3:uid="{A31A5B91-AC16-4F61-9747-9E8C0A23F28A}" name="Año" dataDxfId="2"/>
    <tableColumn id="2" xr3:uid="{977C6420-D5EF-4031-B6A8-385F6F2E64A5}" name="S.M." dataDxfId="1"/>
    <tableColumn id="3" xr3:uid="{BDE7732C-1E7C-4713-ADAF-4C663757088F}" name="Pensión Mínima" dataDxfId="0">
      <calculatedColumnFormula>K6*365/12*1.11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2.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3.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omments" Target="../comments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B1:K106"/>
  <sheetViews>
    <sheetView tabSelected="1" topLeftCell="C1" zoomScale="150" zoomScaleNormal="150" workbookViewId="0">
      <selection activeCell="F14" sqref="F14"/>
    </sheetView>
  </sheetViews>
  <sheetFormatPr baseColWidth="10" defaultColWidth="9.1796875" defaultRowHeight="14.75" x14ac:dyDescent="0.75"/>
  <cols>
    <col min="1" max="1" width="2.7265625" customWidth="1"/>
    <col min="2" max="2" width="13.26953125" customWidth="1"/>
    <col min="3" max="3" width="33.54296875" customWidth="1"/>
    <col min="4" max="4" width="23.1796875" customWidth="1"/>
    <col min="5" max="5" width="25.81640625" customWidth="1"/>
    <col min="6" max="6" width="21.7265625" bestFit="1" customWidth="1"/>
    <col min="7" max="7" width="2.7265625" customWidth="1"/>
  </cols>
  <sheetData>
    <row r="1" spans="2:7" ht="14.25" customHeight="1" x14ac:dyDescent="0.75"/>
    <row r="2" spans="2:7" ht="51" customHeight="1" x14ac:dyDescent="0.75"/>
    <row r="3" spans="2:7" ht="3" customHeight="1" x14ac:dyDescent="0.75"/>
    <row r="5" spans="2:7" ht="3" customHeight="1" x14ac:dyDescent="0.75">
      <c r="B5" s="30"/>
      <c r="C5" s="30"/>
      <c r="D5" s="30"/>
      <c r="E5" s="30"/>
      <c r="F5" s="30"/>
      <c r="G5" s="30"/>
    </row>
    <row r="6" spans="2:7" x14ac:dyDescent="0.75">
      <c r="B6" s="40" t="s">
        <v>86</v>
      </c>
      <c r="C6" s="135" t="s">
        <v>24</v>
      </c>
      <c r="D6" s="135"/>
      <c r="E6" s="40" t="s">
        <v>18</v>
      </c>
      <c r="F6" s="41">
        <f ca="1">TODAY()</f>
        <v>46043</v>
      </c>
    </row>
    <row r="7" spans="2:7" x14ac:dyDescent="0.75">
      <c r="B7" s="40" t="s">
        <v>15</v>
      </c>
      <c r="C7" s="136"/>
      <c r="D7" s="136"/>
      <c r="E7" s="40" t="s">
        <v>17</v>
      </c>
      <c r="F7" s="44">
        <v>25609</v>
      </c>
    </row>
    <row r="8" spans="2:7" x14ac:dyDescent="0.75">
      <c r="B8" s="40" t="s">
        <v>16</v>
      </c>
      <c r="C8" s="135"/>
      <c r="D8" s="135"/>
      <c r="E8" s="40" t="s">
        <v>19</v>
      </c>
      <c r="F8" s="36">
        <f ca="1">IFERROR(IF(ISBLANK(F7),"",TRUNC((F6-F7)/365)),"")</f>
        <v>55</v>
      </c>
    </row>
    <row r="9" spans="2:7" x14ac:dyDescent="0.75">
      <c r="B9" s="30"/>
      <c r="C9" s="30"/>
      <c r="D9" s="30"/>
      <c r="E9" s="40" t="s">
        <v>87</v>
      </c>
      <c r="F9" s="44">
        <v>44333</v>
      </c>
    </row>
    <row r="10" spans="2:7" ht="3" customHeight="1" x14ac:dyDescent="0.75">
      <c r="E10" s="30"/>
      <c r="F10" s="30"/>
      <c r="G10" s="30"/>
    </row>
    <row r="11" spans="2:7" x14ac:dyDescent="0.75">
      <c r="C11" s="40" t="s">
        <v>108</v>
      </c>
      <c r="D11" s="93">
        <f>IF(F9="","",(F12*7/4)+F9)</f>
        <v>45766.25</v>
      </c>
      <c r="E11" s="40" t="s">
        <v>23</v>
      </c>
      <c r="F11" s="42">
        <v>60</v>
      </c>
      <c r="G11" s="30"/>
    </row>
    <row r="12" spans="2:7" x14ac:dyDescent="0.75">
      <c r="B12" s="30"/>
      <c r="C12" s="40" t="s">
        <v>109</v>
      </c>
      <c r="D12" s="93">
        <f>IF(F9="","",F9+1820)</f>
        <v>46153</v>
      </c>
      <c r="E12" s="40" t="s">
        <v>125</v>
      </c>
      <c r="F12" s="42">
        <v>819</v>
      </c>
      <c r="G12" s="30"/>
    </row>
    <row r="13" spans="2:7" x14ac:dyDescent="0.75">
      <c r="B13" s="30"/>
      <c r="C13" s="30"/>
      <c r="D13" s="30"/>
      <c r="E13" s="40" t="s">
        <v>20</v>
      </c>
      <c r="F13" s="36">
        <f>TRUNC(AmortizaciónPagos!G28)</f>
        <v>0</v>
      </c>
      <c r="G13" s="30"/>
    </row>
    <row r="14" spans="2:7" x14ac:dyDescent="0.75">
      <c r="B14" s="30"/>
      <c r="C14" s="30"/>
      <c r="D14" s="30"/>
      <c r="E14" s="40" t="s">
        <v>126</v>
      </c>
      <c r="F14" s="42">
        <v>0</v>
      </c>
      <c r="G14" s="30"/>
    </row>
    <row r="15" spans="2:7" x14ac:dyDescent="0.75">
      <c r="B15" s="30"/>
      <c r="C15" s="30"/>
      <c r="D15" s="30"/>
      <c r="E15" s="40" t="s">
        <v>21</v>
      </c>
      <c r="F15" s="42">
        <v>0</v>
      </c>
      <c r="G15" s="30"/>
    </row>
    <row r="16" spans="2:7" ht="15.5" thickBot="1" x14ac:dyDescent="0.9">
      <c r="B16" s="30"/>
      <c r="C16" s="30"/>
      <c r="D16" s="30"/>
      <c r="E16" s="40" t="s">
        <v>22</v>
      </c>
      <c r="F16" s="104">
        <f>SUM(F12:F15)</f>
        <v>819</v>
      </c>
      <c r="G16" s="30"/>
    </row>
    <row r="17" spans="2:11" ht="3" customHeight="1" thickTop="1" x14ac:dyDescent="0.75">
      <c r="B17" s="30"/>
      <c r="C17" s="30"/>
      <c r="D17" s="30"/>
      <c r="E17" s="30"/>
      <c r="F17" s="30"/>
      <c r="G17" s="30"/>
    </row>
    <row r="18" spans="2:11" ht="15.5" thickBot="1" x14ac:dyDescent="0.9">
      <c r="B18" s="30"/>
      <c r="C18" s="30"/>
      <c r="D18" s="30"/>
      <c r="E18" s="40" t="s">
        <v>25</v>
      </c>
      <c r="F18" s="94">
        <f>'Salario Promedio'!G68</f>
        <v>0</v>
      </c>
      <c r="G18" s="30"/>
      <c r="K18" t="s">
        <v>24</v>
      </c>
    </row>
    <row r="19" spans="2:11" ht="3" customHeight="1" thickTop="1" x14ac:dyDescent="0.75">
      <c r="B19" s="30"/>
      <c r="C19" s="30"/>
      <c r="D19" s="30"/>
      <c r="E19" s="30"/>
      <c r="F19" s="30" t="s">
        <v>24</v>
      </c>
      <c r="G19" s="30"/>
    </row>
    <row r="20" spans="2:11" x14ac:dyDescent="0.75">
      <c r="B20" s="30"/>
      <c r="C20" s="30"/>
      <c r="D20" s="30"/>
      <c r="E20" s="40" t="s">
        <v>26</v>
      </c>
      <c r="F20" s="43" t="s">
        <v>127</v>
      </c>
      <c r="G20" s="30"/>
    </row>
    <row r="21" spans="2:11" x14ac:dyDescent="0.75">
      <c r="B21" s="30"/>
      <c r="C21" s="30"/>
      <c r="D21" s="30"/>
      <c r="E21" s="40" t="s">
        <v>101</v>
      </c>
      <c r="F21" s="42">
        <v>2</v>
      </c>
      <c r="G21" s="30"/>
    </row>
    <row r="22" spans="2:11" x14ac:dyDescent="0.75">
      <c r="B22" s="30"/>
      <c r="C22" s="30"/>
      <c r="D22" s="30"/>
      <c r="E22" s="40" t="s">
        <v>27</v>
      </c>
      <c r="F22" s="42">
        <v>0</v>
      </c>
      <c r="G22" s="30"/>
    </row>
    <row r="23" spans="2:11" ht="5.15" customHeight="1" x14ac:dyDescent="0.75">
      <c r="B23" s="30"/>
      <c r="C23" s="30"/>
      <c r="D23" s="30"/>
      <c r="E23" s="30"/>
      <c r="F23" s="30"/>
      <c r="G23" s="30"/>
    </row>
    <row r="25" spans="2:11" ht="3" customHeight="1" x14ac:dyDescent="0.75"/>
    <row r="26" spans="2:11" x14ac:dyDescent="0.75">
      <c r="E26" s="14" t="s">
        <v>30</v>
      </c>
      <c r="F26" s="95">
        <v>103.74</v>
      </c>
    </row>
    <row r="27" spans="2:11" x14ac:dyDescent="0.75">
      <c r="E27" s="14" t="s">
        <v>28</v>
      </c>
      <c r="F27" s="95">
        <v>207.44</v>
      </c>
    </row>
    <row r="28" spans="2:11" x14ac:dyDescent="0.75">
      <c r="E28" s="14" t="s">
        <v>29</v>
      </c>
      <c r="F28" s="116">
        <f>F18/F26</f>
        <v>0</v>
      </c>
    </row>
    <row r="29" spans="2:11" ht="3" customHeight="1" x14ac:dyDescent="0.75"/>
    <row r="30" spans="2:11" ht="15" customHeight="1" x14ac:dyDescent="0.75"/>
    <row r="31" spans="2:11" ht="3" customHeight="1" x14ac:dyDescent="0.75"/>
    <row r="33" spans="5:7" ht="3" customHeight="1" x14ac:dyDescent="0.75"/>
    <row r="34" spans="5:7" x14ac:dyDescent="0.75">
      <c r="E34" s="14" t="s">
        <v>25</v>
      </c>
      <c r="F34" s="29">
        <f>F18</f>
        <v>0</v>
      </c>
      <c r="G34" s="30"/>
    </row>
    <row r="35" spans="5:7" x14ac:dyDescent="0.75">
      <c r="E35" s="14" t="s">
        <v>35</v>
      </c>
      <c r="F35" s="31">
        <f>VLOOKUP(F28,TblPorcentajesLey73!$B$6:$E$28,3)</f>
        <v>0.8</v>
      </c>
      <c r="G35" s="30"/>
    </row>
    <row r="36" spans="5:7" x14ac:dyDescent="0.75">
      <c r="E36" s="14" t="s">
        <v>36</v>
      </c>
      <c r="F36" s="29">
        <f>F34*F35</f>
        <v>0</v>
      </c>
      <c r="G36" s="30"/>
    </row>
    <row r="37" spans="5:7" ht="15" customHeight="1" x14ac:dyDescent="0.75">
      <c r="E37" s="14" t="s">
        <v>37</v>
      </c>
      <c r="F37" s="52">
        <f>F36*365</f>
        <v>0</v>
      </c>
      <c r="G37" s="30"/>
    </row>
    <row r="38" spans="5:7" ht="15" customHeight="1" thickBot="1" x14ac:dyDescent="0.9">
      <c r="E38" s="14" t="s">
        <v>111</v>
      </c>
      <c r="F38" s="99">
        <f>(1.11)*(F36*365)</f>
        <v>0</v>
      </c>
      <c r="G38" s="30"/>
    </row>
    <row r="39" spans="5:7" ht="3" customHeight="1" thickTop="1" x14ac:dyDescent="0.75">
      <c r="E39" s="14"/>
      <c r="F39" s="133"/>
      <c r="G39" s="30"/>
    </row>
    <row r="40" spans="5:7" ht="15" customHeight="1" x14ac:dyDescent="0.75">
      <c r="F40" s="30"/>
      <c r="G40" s="30"/>
    </row>
    <row r="41" spans="5:7" ht="3" customHeight="1" x14ac:dyDescent="0.75">
      <c r="F41" s="30"/>
      <c r="G41" s="30"/>
    </row>
    <row r="42" spans="5:7" ht="15" customHeight="1" x14ac:dyDescent="0.75">
      <c r="E42" s="14" t="s">
        <v>25</v>
      </c>
      <c r="F42" s="29">
        <f>F18</f>
        <v>0</v>
      </c>
      <c r="G42" s="30"/>
    </row>
    <row r="43" spans="5:7" x14ac:dyDescent="0.75">
      <c r="E43" s="14" t="s">
        <v>35</v>
      </c>
      <c r="F43" s="31">
        <f>VLOOKUP(F28,TblPorcentajesLey73!$B$6:$E$28,4)</f>
        <v>5.6299999999999996E-3</v>
      </c>
      <c r="G43" s="30"/>
    </row>
    <row r="44" spans="5:7" x14ac:dyDescent="0.75">
      <c r="E44" s="14" t="s">
        <v>38</v>
      </c>
      <c r="F44" s="29">
        <f>F42*F43</f>
        <v>0</v>
      </c>
      <c r="G44" s="30"/>
    </row>
    <row r="45" spans="5:7" x14ac:dyDescent="0.75">
      <c r="E45" s="14" t="s">
        <v>39</v>
      </c>
      <c r="F45" s="29">
        <f>F44*365</f>
        <v>0</v>
      </c>
      <c r="G45" s="30"/>
    </row>
    <row r="46" spans="5:7" x14ac:dyDescent="0.75">
      <c r="E46" s="14" t="s">
        <v>112</v>
      </c>
      <c r="F46" s="33">
        <f>TblPorcentajesLey73!O21</f>
        <v>6</v>
      </c>
      <c r="G46" s="30"/>
    </row>
    <row r="47" spans="5:7" ht="15.5" thickBot="1" x14ac:dyDescent="0.9">
      <c r="E47" s="14" t="s">
        <v>40</v>
      </c>
      <c r="F47" s="99">
        <f>F45*F46*1.11</f>
        <v>0</v>
      </c>
      <c r="G47" s="30"/>
    </row>
    <row r="48" spans="5:7" ht="3" customHeight="1" thickTop="1" x14ac:dyDescent="0.75">
      <c r="F48" s="30"/>
      <c r="G48" s="30"/>
    </row>
    <row r="49" spans="5:7" ht="15.5" thickBot="1" x14ac:dyDescent="0.9">
      <c r="E49" s="14" t="s">
        <v>113</v>
      </c>
      <c r="F49" s="34">
        <f>F38+F47</f>
        <v>0</v>
      </c>
      <c r="G49" s="30"/>
    </row>
    <row r="50" spans="5:7" ht="3" customHeight="1" thickTop="1" x14ac:dyDescent="0.75">
      <c r="E50" s="14"/>
      <c r="F50" s="133"/>
      <c r="G50" s="30"/>
    </row>
    <row r="51" spans="5:7" x14ac:dyDescent="0.75">
      <c r="F51" s="30"/>
      <c r="G51" s="30"/>
    </row>
    <row r="52" spans="5:7" ht="3" customHeight="1" x14ac:dyDescent="0.75">
      <c r="F52" s="30"/>
      <c r="G52" s="30"/>
    </row>
    <row r="53" spans="5:7" x14ac:dyDescent="0.75">
      <c r="E53" s="14" t="s">
        <v>48</v>
      </c>
      <c r="F53" s="36">
        <f>$F$11</f>
        <v>60</v>
      </c>
      <c r="G53" s="30"/>
    </row>
    <row r="54" spans="5:7" x14ac:dyDescent="0.75">
      <c r="E54" s="14" t="s">
        <v>49</v>
      </c>
      <c r="F54" s="37">
        <f>VLOOKUP(F53,TblPorcentajesLey73!$G$6:$H$11,2)</f>
        <v>0.75</v>
      </c>
      <c r="G54" s="30"/>
    </row>
    <row r="55" spans="5:7" ht="15.5" thickBot="1" x14ac:dyDescent="0.9">
      <c r="E55" s="14" t="s">
        <v>114</v>
      </c>
      <c r="F55" s="34">
        <f>F49*F54</f>
        <v>0</v>
      </c>
      <c r="G55" s="30"/>
    </row>
    <row r="56" spans="5:7" ht="3" customHeight="1" thickTop="1" x14ac:dyDescent="0.75">
      <c r="F56" s="30"/>
      <c r="G56" s="30"/>
    </row>
    <row r="57" spans="5:7" ht="15" customHeight="1" x14ac:dyDescent="0.75">
      <c r="F57" s="30"/>
      <c r="G57" s="30"/>
    </row>
    <row r="58" spans="5:7" ht="3" customHeight="1" x14ac:dyDescent="0.75">
      <c r="F58" s="30"/>
      <c r="G58" s="30"/>
    </row>
    <row r="59" spans="5:7" x14ac:dyDescent="0.75">
      <c r="E59" s="13"/>
      <c r="F59" s="30"/>
      <c r="G59" s="30"/>
    </row>
    <row r="60" spans="5:7" ht="3" customHeight="1" x14ac:dyDescent="0.75">
      <c r="E60" s="13"/>
      <c r="F60" s="30"/>
      <c r="G60" s="30"/>
    </row>
    <row r="61" spans="5:7" x14ac:dyDescent="0.75">
      <c r="E61" s="14" t="s">
        <v>41</v>
      </c>
      <c r="F61" s="29">
        <f>$F$55</f>
        <v>0</v>
      </c>
      <c r="G61" s="30"/>
    </row>
    <row r="62" spans="5:7" x14ac:dyDescent="0.75">
      <c r="E62" s="14" t="s">
        <v>42</v>
      </c>
      <c r="F62" s="35">
        <v>0.15</v>
      </c>
      <c r="G62" s="30"/>
    </row>
    <row r="63" spans="5:7" ht="15.5" thickBot="1" x14ac:dyDescent="0.9">
      <c r="E63" s="14" t="s">
        <v>43</v>
      </c>
      <c r="F63" s="32">
        <f>IF(F20="NO",0,F61*F62)</f>
        <v>0</v>
      </c>
      <c r="G63" s="30"/>
    </row>
    <row r="64" spans="5:7" ht="3" customHeight="1" thickTop="1" x14ac:dyDescent="0.75">
      <c r="F64" s="30"/>
      <c r="G64" s="30"/>
    </row>
    <row r="65" spans="5:7" x14ac:dyDescent="0.75">
      <c r="F65" s="30"/>
      <c r="G65" s="30"/>
    </row>
    <row r="66" spans="5:7" ht="3" customHeight="1" x14ac:dyDescent="0.75">
      <c r="F66" s="30"/>
      <c r="G66" s="30"/>
    </row>
    <row r="67" spans="5:7" x14ac:dyDescent="0.75">
      <c r="E67" s="14" t="s">
        <v>41</v>
      </c>
      <c r="F67" s="29">
        <f>$F$55</f>
        <v>0</v>
      </c>
      <c r="G67" s="30"/>
    </row>
    <row r="68" spans="5:7" x14ac:dyDescent="0.75">
      <c r="E68" s="14" t="s">
        <v>44</v>
      </c>
      <c r="F68" s="35">
        <v>0.1</v>
      </c>
      <c r="G68" s="30"/>
    </row>
    <row r="69" spans="5:7" x14ac:dyDescent="0.75">
      <c r="E69" s="14" t="s">
        <v>45</v>
      </c>
      <c r="F69" s="36">
        <f>F$21</f>
        <v>2</v>
      </c>
      <c r="G69" s="30"/>
    </row>
    <row r="70" spans="5:7" ht="15.5" thickBot="1" x14ac:dyDescent="0.9">
      <c r="E70" s="14" t="s">
        <v>104</v>
      </c>
      <c r="F70" s="32">
        <f>F67*F68*F69</f>
        <v>0</v>
      </c>
      <c r="G70" s="30"/>
    </row>
    <row r="71" spans="5:7" ht="3" customHeight="1" thickTop="1" x14ac:dyDescent="0.75">
      <c r="F71" s="30"/>
      <c r="G71" s="30"/>
    </row>
    <row r="72" spans="5:7" x14ac:dyDescent="0.75">
      <c r="F72" s="30"/>
      <c r="G72" s="30"/>
    </row>
    <row r="73" spans="5:7" ht="3" customHeight="1" x14ac:dyDescent="0.75">
      <c r="F73" s="30"/>
      <c r="G73" s="30"/>
    </row>
    <row r="74" spans="5:7" x14ac:dyDescent="0.75">
      <c r="E74" s="14" t="s">
        <v>41</v>
      </c>
      <c r="F74" s="29">
        <f>$F$55</f>
        <v>0</v>
      </c>
      <c r="G74" s="30"/>
    </row>
    <row r="75" spans="5:7" x14ac:dyDescent="0.75">
      <c r="E75" s="14" t="s">
        <v>58</v>
      </c>
      <c r="F75" s="35">
        <v>0.1</v>
      </c>
      <c r="G75" s="30"/>
    </row>
    <row r="76" spans="5:7" x14ac:dyDescent="0.75">
      <c r="E76" s="14" t="s">
        <v>46</v>
      </c>
      <c r="F76" s="36">
        <f>$F$22</f>
        <v>0</v>
      </c>
      <c r="G76" s="30"/>
    </row>
    <row r="77" spans="5:7" ht="15.5" thickBot="1" x14ac:dyDescent="0.9">
      <c r="E77" s="14" t="s">
        <v>103</v>
      </c>
      <c r="F77" s="32">
        <f>IF(AND(F20="NO",F21=0),F74*F75*F76,0)</f>
        <v>0</v>
      </c>
      <c r="G77" s="30"/>
    </row>
    <row r="78" spans="5:7" ht="3" customHeight="1" thickTop="1" x14ac:dyDescent="0.75">
      <c r="E78" s="14"/>
      <c r="F78" s="52"/>
      <c r="G78" s="30"/>
    </row>
    <row r="79" spans="5:7" x14ac:dyDescent="0.75">
      <c r="F79" s="30"/>
      <c r="G79" s="30"/>
    </row>
    <row r="80" spans="5:7" ht="3" customHeight="1" x14ac:dyDescent="0.75">
      <c r="F80" s="30"/>
      <c r="G80" s="30"/>
    </row>
    <row r="81" spans="2:7" x14ac:dyDescent="0.75">
      <c r="E81" s="14" t="s">
        <v>41</v>
      </c>
      <c r="F81" s="29">
        <f>$F$55</f>
        <v>0</v>
      </c>
      <c r="G81" s="30"/>
    </row>
    <row r="82" spans="2:7" x14ac:dyDescent="0.75">
      <c r="E82" s="14" t="s">
        <v>42</v>
      </c>
      <c r="F82" s="35">
        <v>0.15</v>
      </c>
      <c r="G82" s="30"/>
    </row>
    <row r="83" spans="2:7" ht="15.5" thickBot="1" x14ac:dyDescent="0.9">
      <c r="E83" s="14" t="s">
        <v>47</v>
      </c>
      <c r="F83" s="32">
        <f>IF(AND($F$20="NO",$F$21=0,$F$22=0),F82*F81,0)</f>
        <v>0</v>
      </c>
      <c r="G83" s="30"/>
    </row>
    <row r="84" spans="2:7" ht="3" customHeight="1" thickTop="1" x14ac:dyDescent="0.75">
      <c r="F84" s="30"/>
      <c r="G84" s="30"/>
    </row>
    <row r="85" spans="2:7" ht="15" customHeight="1" thickBot="1" x14ac:dyDescent="0.9">
      <c r="E85" s="14" t="s">
        <v>115</v>
      </c>
      <c r="F85" s="100">
        <f>F55+F63+F70+F77+F83</f>
        <v>0</v>
      </c>
      <c r="G85" s="30"/>
    </row>
    <row r="86" spans="2:7" ht="3" customHeight="1" thickTop="1" x14ac:dyDescent="0.75">
      <c r="F86" s="30"/>
      <c r="G86" s="30"/>
    </row>
    <row r="87" spans="2:7" ht="15" customHeight="1" thickBot="1" x14ac:dyDescent="0.9">
      <c r="E87" s="14" t="s">
        <v>116</v>
      </c>
      <c r="F87" s="100">
        <f>(F57+F65+F72+F79+F85) / 12</f>
        <v>0</v>
      </c>
      <c r="G87" s="30"/>
    </row>
    <row r="88" spans="2:7" ht="3" customHeight="1" thickTop="1" x14ac:dyDescent="0.75">
      <c r="E88" s="14"/>
      <c r="F88" s="134"/>
      <c r="G88" s="30"/>
    </row>
    <row r="89" spans="2:7" ht="15.5" thickBot="1" x14ac:dyDescent="0.9">
      <c r="E89" s="14" t="s">
        <v>117</v>
      </c>
      <c r="F89" s="100">
        <f>F55/12</f>
        <v>0</v>
      </c>
    </row>
    <row r="90" spans="2:7" ht="3" customHeight="1" thickTop="1" x14ac:dyDescent="0.75">
      <c r="F90" s="30"/>
      <c r="G90" s="30"/>
    </row>
    <row r="91" spans="2:7" x14ac:dyDescent="0.75">
      <c r="F91" s="30"/>
      <c r="G91" s="30"/>
    </row>
    <row r="92" spans="2:7" ht="3" customHeight="1" x14ac:dyDescent="0.75">
      <c r="F92" s="30"/>
      <c r="G92" s="30"/>
    </row>
    <row r="93" spans="2:7" x14ac:dyDescent="0.75">
      <c r="E93" s="14" t="s">
        <v>52</v>
      </c>
      <c r="F93" s="29">
        <f>F87</f>
        <v>0</v>
      </c>
      <c r="G93" s="30"/>
    </row>
    <row r="94" spans="2:7" x14ac:dyDescent="0.75">
      <c r="E94" s="14" t="s">
        <v>53</v>
      </c>
      <c r="F94" s="29">
        <f>F26*15*30.4</f>
        <v>47305.439999999995</v>
      </c>
      <c r="G94" s="30"/>
    </row>
    <row r="95" spans="2:7" x14ac:dyDescent="0.75">
      <c r="E95" s="14" t="s">
        <v>54</v>
      </c>
      <c r="F95" s="29">
        <f>TblISR!B9</f>
        <v>0</v>
      </c>
      <c r="G95" s="30"/>
    </row>
    <row r="96" spans="2:7" ht="18" thickBot="1" x14ac:dyDescent="1">
      <c r="B96" s="22"/>
      <c r="C96" s="22"/>
      <c r="D96" s="22"/>
      <c r="E96" s="23" t="s">
        <v>55</v>
      </c>
      <c r="F96" s="100">
        <f>F93-F95</f>
        <v>0</v>
      </c>
      <c r="G96" s="30"/>
    </row>
    <row r="97" spans="5:7" ht="3" customHeight="1" thickTop="1" x14ac:dyDescent="0.75">
      <c r="F97" s="30"/>
      <c r="G97" s="30"/>
    </row>
    <row r="98" spans="5:7" x14ac:dyDescent="0.75">
      <c r="E98" s="14" t="s">
        <v>105</v>
      </c>
      <c r="F98" s="38">
        <f>F27*365/12*1.11</f>
        <v>7003.6930000000011</v>
      </c>
      <c r="G98" s="30"/>
    </row>
    <row r="99" spans="5:7" ht="3" customHeight="1" x14ac:dyDescent="0.75">
      <c r="F99" s="30"/>
      <c r="G99" s="30"/>
    </row>
    <row r="100" spans="5:7" x14ac:dyDescent="0.75">
      <c r="F100" s="30"/>
      <c r="G100" s="30"/>
    </row>
    <row r="101" spans="5:7" ht="3" customHeight="1" x14ac:dyDescent="0.75">
      <c r="F101" s="30"/>
      <c r="G101" s="30"/>
    </row>
    <row r="102" spans="5:7" x14ac:dyDescent="0.75">
      <c r="E102" s="14" t="s">
        <v>83</v>
      </c>
      <c r="F102" s="106"/>
    </row>
    <row r="103" spans="5:7" x14ac:dyDescent="0.75">
      <c r="E103" s="14" t="s">
        <v>84</v>
      </c>
      <c r="F103" s="106"/>
    </row>
    <row r="104" spans="5:7" x14ac:dyDescent="0.75">
      <c r="E104" s="14" t="s">
        <v>85</v>
      </c>
      <c r="F104" s="39">
        <f>AmortizaciónPagos!G25</f>
        <v>0</v>
      </c>
      <c r="G104" s="45"/>
    </row>
    <row r="105" spans="5:7" x14ac:dyDescent="0.75">
      <c r="E105" s="14" t="s">
        <v>122</v>
      </c>
      <c r="F105" s="71" t="str">
        <f>IFERROR(F104/F96,"")</f>
        <v/>
      </c>
      <c r="G105" s="72"/>
    </row>
    <row r="106" spans="5:7" x14ac:dyDescent="0.75">
      <c r="E106" s="14" t="s">
        <v>121</v>
      </c>
      <c r="F106" s="39">
        <f>AmortizaciónPagos!G26</f>
        <v>0</v>
      </c>
      <c r="G106" s="45"/>
    </row>
  </sheetData>
  <sheetProtection algorithmName="SHA-512" hashValue="nv7oQvWMh6xnbQ6czNA22hw8B7JWb1GLBYO7jvc3wG8Nho8Gt+L/jAyI5QjsicT6oAwPMAbpRny4YG8UIVA4Jg==" saltValue="WpNKV0T5rbmXSagrL9GLhQ==" spinCount="100000" sheet="1" objects="1" scenarios="1"/>
  <dataConsolidate/>
  <mergeCells count="3">
    <mergeCell ref="C6:D6"/>
    <mergeCell ref="C7:D7"/>
    <mergeCell ref="C8:D8"/>
  </mergeCells>
  <dataValidations count="7">
    <dataValidation type="list" allowBlank="1" showInputMessage="1" showErrorMessage="1" sqref="F20" xr:uid="{00000000-0002-0000-0000-000000000000}">
      <formula1>"SI, NO"</formula1>
    </dataValidation>
    <dataValidation type="list" allowBlank="1" showInputMessage="1" showErrorMessage="1" sqref="F21" xr:uid="{00000000-0002-0000-0000-000001000000}">
      <formula1>"0,1,2,3,4,5,6,7,8,9"</formula1>
    </dataValidation>
    <dataValidation type="list" allowBlank="1" showInputMessage="1" showErrorMessage="1" sqref="F22" xr:uid="{00000000-0002-0000-0000-000002000000}">
      <formula1>"0,1,2"</formula1>
    </dataValidation>
    <dataValidation type="whole" allowBlank="1" showInputMessage="1" showErrorMessage="1" errorTitle="LÍMITE DE UMAS EXCEDIDO" error="El sueldo diario promedio exccede el límite de 25 UMAS_x000a_" sqref="F28" xr:uid="{00000000-0002-0000-0000-000003000000}">
      <formula1>1</formula1>
      <formula2>25</formula2>
    </dataValidation>
    <dataValidation type="whole" operator="greaterThanOrEqual" allowBlank="1" showInputMessage="1" showErrorMessage="1" errorTitle="Sin Derecho a pensión" error="En ley 73, el mínimo requerido para solicitar una pensión es de 500 semanas." sqref="F12" xr:uid="{00000000-0002-0000-0000-000004000000}">
      <formula1>0</formula1>
    </dataValidation>
    <dataValidation type="whole" operator="greaterThanOrEqual" allowBlank="1" showInputMessage="1" showErrorMessage="1" errorTitle="Edad de retiro no válida" error="La edad de retiro para pensión por Cesantía es de 60 a 64 años._x000a__x000a_La edad de retiro para pensión por vejez es de 65 años._x000a_" sqref="F11" xr:uid="{00000000-0002-0000-0000-000005000000}">
      <formula1>60</formula1>
    </dataValidation>
    <dataValidation type="date" operator="greaterThan" allowBlank="1" showInputMessage="1" showErrorMessage="1" sqref="F7" xr:uid="{00000000-0002-0000-0000-000006000000}">
      <formula1>1</formula1>
    </dataValidation>
  </dataValidations>
  <printOptions horizontalCentered="1" verticalCentered="1"/>
  <pageMargins left="0.39370078740157483" right="0.39370078740157483" top="0.39370078740157483" bottom="0.39370078740157483" header="0" footer="0"/>
  <pageSetup scale="84" orientation="portrait" r:id="rId1"/>
  <ignoredErrors>
    <ignoredError sqref="F18" unlockedFormula="1"/>
  </ignoredError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tabColor rgb="FF002060"/>
    <pageSetUpPr fitToPage="1"/>
  </sheetPr>
  <dimension ref="B1:M68"/>
  <sheetViews>
    <sheetView showGridLines="0" workbookViewId="0">
      <selection activeCell="F5" sqref="F5:F9"/>
    </sheetView>
  </sheetViews>
  <sheetFormatPr baseColWidth="10" defaultRowHeight="14.75" x14ac:dyDescent="0.75"/>
  <cols>
    <col min="1" max="1" width="1.7265625" customWidth="1"/>
    <col min="2" max="2" width="18" bestFit="1" customWidth="1"/>
    <col min="3" max="3" width="20.1796875" customWidth="1"/>
    <col min="6" max="6" width="16.26953125" bestFit="1" customWidth="1"/>
    <col min="7" max="7" width="23.7265625" customWidth="1"/>
    <col min="8" max="9" width="11.453125" hidden="1" customWidth="1"/>
    <col min="10" max="10" width="14.1796875" hidden="1" customWidth="1"/>
  </cols>
  <sheetData>
    <row r="1" spans="2:13" ht="15" customHeight="1" x14ac:dyDescent="0.75"/>
    <row r="2" spans="2:13" ht="40" customHeight="1" x14ac:dyDescent="0.75"/>
    <row r="3" spans="2:13" ht="15" customHeight="1" x14ac:dyDescent="0.75"/>
    <row r="4" spans="2:13" x14ac:dyDescent="0.75">
      <c r="B4" s="28" t="s">
        <v>92</v>
      </c>
      <c r="C4" s="28" t="s">
        <v>93</v>
      </c>
      <c r="D4" s="28" t="s">
        <v>0</v>
      </c>
      <c r="E4" s="28" t="s">
        <v>1</v>
      </c>
      <c r="F4" s="28" t="s">
        <v>94</v>
      </c>
      <c r="G4" s="28" t="s">
        <v>110</v>
      </c>
    </row>
    <row r="5" spans="2:13" x14ac:dyDescent="0.75">
      <c r="B5" s="73"/>
      <c r="C5" s="70"/>
      <c r="D5" s="96">
        <f t="shared" ref="D5:D40" si="0">IF(ISBLANK(B5),0,IF(((C5-B5+1)+I4)&gt;1750,1750-I4,C5-B5+1))</f>
        <v>0</v>
      </c>
      <c r="E5" s="58">
        <f t="shared" ref="E5" si="1">+D5/7</f>
        <v>0</v>
      </c>
      <c r="F5" s="74"/>
      <c r="G5" s="59">
        <f>D5*F5</f>
        <v>0</v>
      </c>
      <c r="H5" s="26">
        <f>E5</f>
        <v>0</v>
      </c>
      <c r="I5" s="26">
        <f>+D5</f>
        <v>0</v>
      </c>
      <c r="J5" s="27">
        <f t="shared" ref="J5:J29" si="2">F5*D5</f>
        <v>0</v>
      </c>
    </row>
    <row r="6" spans="2:13" x14ac:dyDescent="0.75">
      <c r="B6" s="73"/>
      <c r="C6" s="70"/>
      <c r="D6" s="97">
        <f t="shared" si="0"/>
        <v>0</v>
      </c>
      <c r="E6" s="60">
        <f t="shared" ref="E6:E40" si="3">IF((D6/7)+H5&gt;250,250-H5,D6/7)</f>
        <v>0</v>
      </c>
      <c r="F6" s="74"/>
      <c r="G6" s="59">
        <f t="shared" ref="G6:G40" si="4">D6*F6</f>
        <v>0</v>
      </c>
      <c r="H6" s="26">
        <f t="shared" ref="H6:H29" si="5">E6+H5</f>
        <v>0</v>
      </c>
      <c r="I6" s="26">
        <f t="shared" ref="I6:I29" si="6">I5+D6</f>
        <v>0</v>
      </c>
      <c r="J6" s="27">
        <f t="shared" si="2"/>
        <v>0</v>
      </c>
    </row>
    <row r="7" spans="2:13" x14ac:dyDescent="0.75">
      <c r="B7" s="73"/>
      <c r="C7" s="70" t="str">
        <f t="shared" ref="C6:C8" si="7">IF(ISBLANK(B7)," ",B6-1)</f>
        <v xml:space="preserve"> </v>
      </c>
      <c r="D7" s="97">
        <f t="shared" si="0"/>
        <v>0</v>
      </c>
      <c r="E7" s="60">
        <f t="shared" si="3"/>
        <v>0</v>
      </c>
      <c r="F7" s="74"/>
      <c r="G7" s="59">
        <f t="shared" si="4"/>
        <v>0</v>
      </c>
      <c r="H7" s="26">
        <f t="shared" si="5"/>
        <v>0</v>
      </c>
      <c r="I7" s="26">
        <f t="shared" si="6"/>
        <v>0</v>
      </c>
      <c r="J7" s="27">
        <f t="shared" si="2"/>
        <v>0</v>
      </c>
    </row>
    <row r="8" spans="2:13" x14ac:dyDescent="0.75">
      <c r="B8" s="73"/>
      <c r="C8" s="70" t="str">
        <f t="shared" si="7"/>
        <v xml:space="preserve"> </v>
      </c>
      <c r="D8" s="97">
        <f t="shared" si="0"/>
        <v>0</v>
      </c>
      <c r="E8" s="60">
        <f t="shared" si="3"/>
        <v>0</v>
      </c>
      <c r="F8" s="74"/>
      <c r="G8" s="59">
        <f t="shared" si="4"/>
        <v>0</v>
      </c>
      <c r="H8" s="26">
        <f t="shared" si="5"/>
        <v>0</v>
      </c>
      <c r="I8" s="26">
        <f t="shared" si="6"/>
        <v>0</v>
      </c>
      <c r="J8" s="27">
        <f t="shared" si="2"/>
        <v>0</v>
      </c>
    </row>
    <row r="9" spans="2:13" x14ac:dyDescent="0.75">
      <c r="B9" s="73"/>
      <c r="C9" s="70" t="str">
        <f t="shared" ref="C9:C66" si="8">IF(ISBLANK(B9)," ",B8-1)</f>
        <v xml:space="preserve"> </v>
      </c>
      <c r="D9" s="97">
        <f t="shared" si="0"/>
        <v>0</v>
      </c>
      <c r="E9" s="60">
        <f t="shared" si="3"/>
        <v>0</v>
      </c>
      <c r="F9" s="74"/>
      <c r="G9" s="59">
        <f t="shared" si="4"/>
        <v>0</v>
      </c>
      <c r="H9" s="26">
        <f t="shared" si="5"/>
        <v>0</v>
      </c>
      <c r="I9" s="26">
        <f t="shared" si="6"/>
        <v>0</v>
      </c>
      <c r="J9" s="27">
        <f t="shared" si="2"/>
        <v>0</v>
      </c>
    </row>
    <row r="10" spans="2:13" x14ac:dyDescent="0.75">
      <c r="B10" s="73"/>
      <c r="C10" s="70" t="str">
        <f t="shared" si="8"/>
        <v xml:space="preserve"> </v>
      </c>
      <c r="D10" s="97">
        <f t="shared" si="0"/>
        <v>0</v>
      </c>
      <c r="E10" s="60">
        <f t="shared" si="3"/>
        <v>0</v>
      </c>
      <c r="F10" s="74">
        <v>130</v>
      </c>
      <c r="G10" s="59">
        <f t="shared" si="4"/>
        <v>0</v>
      </c>
      <c r="H10" s="26">
        <f t="shared" si="5"/>
        <v>0</v>
      </c>
      <c r="I10" s="26">
        <f t="shared" si="6"/>
        <v>0</v>
      </c>
      <c r="J10" s="27">
        <f t="shared" si="2"/>
        <v>0</v>
      </c>
    </row>
    <row r="11" spans="2:13" x14ac:dyDescent="0.75">
      <c r="B11" s="73"/>
      <c r="C11" s="70" t="str">
        <f t="shared" si="8"/>
        <v xml:space="preserve"> </v>
      </c>
      <c r="D11" s="97">
        <f t="shared" si="0"/>
        <v>0</v>
      </c>
      <c r="E11" s="60">
        <f t="shared" si="3"/>
        <v>0</v>
      </c>
      <c r="F11" s="74"/>
      <c r="G11" s="59">
        <f t="shared" si="4"/>
        <v>0</v>
      </c>
      <c r="H11" s="26">
        <f t="shared" si="5"/>
        <v>0</v>
      </c>
      <c r="I11" s="26">
        <f t="shared" si="6"/>
        <v>0</v>
      </c>
      <c r="J11" s="27">
        <f t="shared" si="2"/>
        <v>0</v>
      </c>
    </row>
    <row r="12" spans="2:13" x14ac:dyDescent="0.75">
      <c r="B12" s="73"/>
      <c r="C12" s="70" t="str">
        <f t="shared" si="8"/>
        <v xml:space="preserve"> </v>
      </c>
      <c r="D12" s="97">
        <f t="shared" si="0"/>
        <v>0</v>
      </c>
      <c r="E12" s="60">
        <f t="shared" si="3"/>
        <v>0</v>
      </c>
      <c r="F12" s="74"/>
      <c r="G12" s="59">
        <f t="shared" si="4"/>
        <v>0</v>
      </c>
      <c r="H12" s="26">
        <f t="shared" si="5"/>
        <v>0</v>
      </c>
      <c r="I12" s="26">
        <f t="shared" si="6"/>
        <v>0</v>
      </c>
      <c r="J12" s="27">
        <f t="shared" si="2"/>
        <v>0</v>
      </c>
    </row>
    <row r="13" spans="2:13" x14ac:dyDescent="0.75">
      <c r="B13" s="73"/>
      <c r="C13" s="70" t="str">
        <f t="shared" si="8"/>
        <v xml:space="preserve"> </v>
      </c>
      <c r="D13" s="97">
        <f t="shared" si="0"/>
        <v>0</v>
      </c>
      <c r="E13" s="60">
        <f t="shared" si="3"/>
        <v>0</v>
      </c>
      <c r="F13" s="74"/>
      <c r="G13" s="59">
        <f t="shared" si="4"/>
        <v>0</v>
      </c>
      <c r="H13" s="26">
        <f t="shared" si="5"/>
        <v>0</v>
      </c>
      <c r="I13" s="26">
        <f t="shared" si="6"/>
        <v>0</v>
      </c>
      <c r="J13" s="27">
        <f t="shared" si="2"/>
        <v>0</v>
      </c>
    </row>
    <row r="14" spans="2:13" x14ac:dyDescent="0.75">
      <c r="B14" s="73"/>
      <c r="C14" s="70" t="str">
        <f t="shared" si="8"/>
        <v xml:space="preserve"> </v>
      </c>
      <c r="D14" s="97">
        <f t="shared" si="0"/>
        <v>0</v>
      </c>
      <c r="E14" s="60">
        <f t="shared" si="3"/>
        <v>0</v>
      </c>
      <c r="F14" s="74"/>
      <c r="G14" s="59">
        <f t="shared" si="4"/>
        <v>0</v>
      </c>
      <c r="H14" s="26">
        <f t="shared" si="5"/>
        <v>0</v>
      </c>
      <c r="I14" s="26">
        <f t="shared" si="6"/>
        <v>0</v>
      </c>
      <c r="J14" s="27">
        <f t="shared" si="2"/>
        <v>0</v>
      </c>
      <c r="M14" t="s">
        <v>24</v>
      </c>
    </row>
    <row r="15" spans="2:13" x14ac:dyDescent="0.75">
      <c r="B15" s="73"/>
      <c r="C15" s="70" t="str">
        <f t="shared" si="8"/>
        <v xml:space="preserve"> </v>
      </c>
      <c r="D15" s="97">
        <f t="shared" si="0"/>
        <v>0</v>
      </c>
      <c r="E15" s="60">
        <f t="shared" si="3"/>
        <v>0</v>
      </c>
      <c r="F15" s="74"/>
      <c r="G15" s="59">
        <f t="shared" si="4"/>
        <v>0</v>
      </c>
      <c r="H15" s="26">
        <f t="shared" si="5"/>
        <v>0</v>
      </c>
      <c r="I15" s="26">
        <f t="shared" si="6"/>
        <v>0</v>
      </c>
      <c r="J15" s="27">
        <f t="shared" si="2"/>
        <v>0</v>
      </c>
    </row>
    <row r="16" spans="2:13" x14ac:dyDescent="0.75">
      <c r="B16" s="73"/>
      <c r="C16" s="70" t="str">
        <f t="shared" si="8"/>
        <v xml:space="preserve"> </v>
      </c>
      <c r="D16" s="97">
        <f t="shared" si="0"/>
        <v>0</v>
      </c>
      <c r="E16" s="60">
        <f t="shared" si="3"/>
        <v>0</v>
      </c>
      <c r="F16" s="74"/>
      <c r="G16" s="59">
        <f t="shared" si="4"/>
        <v>0</v>
      </c>
      <c r="H16" s="26">
        <f t="shared" si="5"/>
        <v>0</v>
      </c>
      <c r="I16" s="26">
        <f t="shared" si="6"/>
        <v>0</v>
      </c>
      <c r="J16" s="27">
        <f t="shared" si="2"/>
        <v>0</v>
      </c>
    </row>
    <row r="17" spans="2:10" x14ac:dyDescent="0.75">
      <c r="B17" s="73"/>
      <c r="C17" s="70" t="str">
        <f t="shared" si="8"/>
        <v xml:space="preserve"> </v>
      </c>
      <c r="D17" s="97">
        <f t="shared" si="0"/>
        <v>0</v>
      </c>
      <c r="E17" s="60">
        <f t="shared" si="3"/>
        <v>0</v>
      </c>
      <c r="F17" s="74"/>
      <c r="G17" s="59">
        <f t="shared" si="4"/>
        <v>0</v>
      </c>
      <c r="H17" s="26">
        <f t="shared" si="5"/>
        <v>0</v>
      </c>
      <c r="I17" s="26">
        <f t="shared" si="6"/>
        <v>0</v>
      </c>
      <c r="J17" s="27">
        <f t="shared" si="2"/>
        <v>0</v>
      </c>
    </row>
    <row r="18" spans="2:10" x14ac:dyDescent="0.75">
      <c r="B18" s="73"/>
      <c r="C18" s="70" t="str">
        <f t="shared" si="8"/>
        <v xml:space="preserve"> </v>
      </c>
      <c r="D18" s="97">
        <f t="shared" si="0"/>
        <v>0</v>
      </c>
      <c r="E18" s="60">
        <f t="shared" si="3"/>
        <v>0</v>
      </c>
      <c r="F18" s="74"/>
      <c r="G18" s="59">
        <f t="shared" si="4"/>
        <v>0</v>
      </c>
      <c r="H18" s="26">
        <f t="shared" si="5"/>
        <v>0</v>
      </c>
      <c r="I18" s="26">
        <f t="shared" si="6"/>
        <v>0</v>
      </c>
      <c r="J18" s="27">
        <f t="shared" si="2"/>
        <v>0</v>
      </c>
    </row>
    <row r="19" spans="2:10" x14ac:dyDescent="0.75">
      <c r="B19" s="73"/>
      <c r="C19" s="70" t="str">
        <f t="shared" si="8"/>
        <v xml:space="preserve"> </v>
      </c>
      <c r="D19" s="97">
        <f t="shared" si="0"/>
        <v>0</v>
      </c>
      <c r="E19" s="60">
        <f t="shared" si="3"/>
        <v>0</v>
      </c>
      <c r="F19" s="74"/>
      <c r="G19" s="59">
        <f t="shared" si="4"/>
        <v>0</v>
      </c>
      <c r="H19" s="26">
        <f t="shared" si="5"/>
        <v>0</v>
      </c>
      <c r="I19" s="26">
        <f t="shared" si="6"/>
        <v>0</v>
      </c>
      <c r="J19" s="27">
        <f t="shared" si="2"/>
        <v>0</v>
      </c>
    </row>
    <row r="20" spans="2:10" x14ac:dyDescent="0.75">
      <c r="B20" s="73"/>
      <c r="C20" s="70" t="str">
        <f t="shared" si="8"/>
        <v xml:space="preserve"> </v>
      </c>
      <c r="D20" s="97">
        <f t="shared" si="0"/>
        <v>0</v>
      </c>
      <c r="E20" s="60">
        <f t="shared" si="3"/>
        <v>0</v>
      </c>
      <c r="F20" s="74"/>
      <c r="G20" s="59">
        <f t="shared" si="4"/>
        <v>0</v>
      </c>
      <c r="H20" s="26">
        <f t="shared" si="5"/>
        <v>0</v>
      </c>
      <c r="I20" s="26">
        <f t="shared" si="6"/>
        <v>0</v>
      </c>
      <c r="J20" s="27">
        <f t="shared" si="2"/>
        <v>0</v>
      </c>
    </row>
    <row r="21" spans="2:10" x14ac:dyDescent="0.75">
      <c r="B21" s="73"/>
      <c r="C21" s="70" t="str">
        <f t="shared" si="8"/>
        <v xml:space="preserve"> </v>
      </c>
      <c r="D21" s="97">
        <f t="shared" si="0"/>
        <v>0</v>
      </c>
      <c r="E21" s="60">
        <f t="shared" si="3"/>
        <v>0</v>
      </c>
      <c r="F21" s="74"/>
      <c r="G21" s="59">
        <f t="shared" si="4"/>
        <v>0</v>
      </c>
      <c r="H21" s="26">
        <f t="shared" si="5"/>
        <v>0</v>
      </c>
      <c r="I21" s="26">
        <f t="shared" si="6"/>
        <v>0</v>
      </c>
      <c r="J21" s="27">
        <f t="shared" si="2"/>
        <v>0</v>
      </c>
    </row>
    <row r="22" spans="2:10" x14ac:dyDescent="0.75">
      <c r="B22" s="73"/>
      <c r="C22" s="70" t="str">
        <f t="shared" si="8"/>
        <v xml:space="preserve"> </v>
      </c>
      <c r="D22" s="97">
        <f t="shared" si="0"/>
        <v>0</v>
      </c>
      <c r="E22" s="60">
        <f t="shared" si="3"/>
        <v>0</v>
      </c>
      <c r="F22" s="74"/>
      <c r="G22" s="59">
        <f t="shared" si="4"/>
        <v>0</v>
      </c>
      <c r="H22" s="26">
        <f t="shared" si="5"/>
        <v>0</v>
      </c>
      <c r="I22" s="26">
        <f t="shared" si="6"/>
        <v>0</v>
      </c>
      <c r="J22" s="27">
        <f t="shared" si="2"/>
        <v>0</v>
      </c>
    </row>
    <row r="23" spans="2:10" x14ac:dyDescent="0.75">
      <c r="B23" s="73"/>
      <c r="C23" s="70" t="str">
        <f t="shared" si="8"/>
        <v xml:space="preserve"> </v>
      </c>
      <c r="D23" s="97">
        <f t="shared" si="0"/>
        <v>0</v>
      </c>
      <c r="E23" s="60">
        <f t="shared" si="3"/>
        <v>0</v>
      </c>
      <c r="F23" s="74"/>
      <c r="G23" s="59">
        <f t="shared" si="4"/>
        <v>0</v>
      </c>
      <c r="H23" s="26">
        <f t="shared" si="5"/>
        <v>0</v>
      </c>
      <c r="I23" s="26">
        <f t="shared" si="6"/>
        <v>0</v>
      </c>
      <c r="J23" s="27">
        <f t="shared" si="2"/>
        <v>0</v>
      </c>
    </row>
    <row r="24" spans="2:10" x14ac:dyDescent="0.75">
      <c r="B24" s="73"/>
      <c r="C24" s="70" t="str">
        <f t="shared" si="8"/>
        <v xml:space="preserve"> </v>
      </c>
      <c r="D24" s="97">
        <f t="shared" si="0"/>
        <v>0</v>
      </c>
      <c r="E24" s="60">
        <f t="shared" si="3"/>
        <v>0</v>
      </c>
      <c r="F24" s="74"/>
      <c r="G24" s="59">
        <f t="shared" si="4"/>
        <v>0</v>
      </c>
      <c r="H24" s="26">
        <f t="shared" si="5"/>
        <v>0</v>
      </c>
      <c r="I24" s="26">
        <f t="shared" si="6"/>
        <v>0</v>
      </c>
      <c r="J24" s="27">
        <f t="shared" si="2"/>
        <v>0</v>
      </c>
    </row>
    <row r="25" spans="2:10" x14ac:dyDescent="0.75">
      <c r="B25" s="73"/>
      <c r="C25" s="70" t="str">
        <f t="shared" si="8"/>
        <v xml:space="preserve"> </v>
      </c>
      <c r="D25" s="97">
        <f t="shared" si="0"/>
        <v>0</v>
      </c>
      <c r="E25" s="60">
        <f t="shared" si="3"/>
        <v>0</v>
      </c>
      <c r="F25" s="74"/>
      <c r="G25" s="59">
        <f t="shared" si="4"/>
        <v>0</v>
      </c>
      <c r="H25" s="26">
        <f t="shared" si="5"/>
        <v>0</v>
      </c>
      <c r="I25" s="26">
        <f t="shared" si="6"/>
        <v>0</v>
      </c>
      <c r="J25" s="27">
        <f t="shared" si="2"/>
        <v>0</v>
      </c>
    </row>
    <row r="26" spans="2:10" x14ac:dyDescent="0.75">
      <c r="B26" s="73"/>
      <c r="C26" s="70" t="str">
        <f t="shared" si="8"/>
        <v xml:space="preserve"> </v>
      </c>
      <c r="D26" s="97">
        <f t="shared" si="0"/>
        <v>0</v>
      </c>
      <c r="E26" s="60">
        <f t="shared" si="3"/>
        <v>0</v>
      </c>
      <c r="F26" s="74"/>
      <c r="G26" s="59">
        <f t="shared" si="4"/>
        <v>0</v>
      </c>
      <c r="H26" s="26">
        <f t="shared" si="5"/>
        <v>0</v>
      </c>
      <c r="I26" s="26">
        <f t="shared" si="6"/>
        <v>0</v>
      </c>
      <c r="J26" s="27">
        <f t="shared" si="2"/>
        <v>0</v>
      </c>
    </row>
    <row r="27" spans="2:10" x14ac:dyDescent="0.75">
      <c r="B27" s="73"/>
      <c r="C27" s="70" t="str">
        <f t="shared" si="8"/>
        <v xml:space="preserve"> </v>
      </c>
      <c r="D27" s="97">
        <f t="shared" si="0"/>
        <v>0</v>
      </c>
      <c r="E27" s="60">
        <f t="shared" si="3"/>
        <v>0</v>
      </c>
      <c r="F27" s="74"/>
      <c r="G27" s="59">
        <f t="shared" si="4"/>
        <v>0</v>
      </c>
      <c r="H27" s="26">
        <f t="shared" si="5"/>
        <v>0</v>
      </c>
      <c r="I27" s="26">
        <f t="shared" si="6"/>
        <v>0</v>
      </c>
      <c r="J27" s="27">
        <f t="shared" si="2"/>
        <v>0</v>
      </c>
    </row>
    <row r="28" spans="2:10" x14ac:dyDescent="0.75">
      <c r="B28" s="73"/>
      <c r="C28" s="70" t="str">
        <f t="shared" si="8"/>
        <v xml:space="preserve"> </v>
      </c>
      <c r="D28" s="97">
        <f t="shared" si="0"/>
        <v>0</v>
      </c>
      <c r="E28" s="60">
        <f t="shared" si="3"/>
        <v>0</v>
      </c>
      <c r="F28" s="74"/>
      <c r="G28" s="59">
        <f t="shared" si="4"/>
        <v>0</v>
      </c>
      <c r="H28" s="26">
        <f t="shared" si="5"/>
        <v>0</v>
      </c>
      <c r="I28" s="26">
        <f t="shared" si="6"/>
        <v>0</v>
      </c>
      <c r="J28" s="27">
        <f t="shared" si="2"/>
        <v>0</v>
      </c>
    </row>
    <row r="29" spans="2:10" x14ac:dyDescent="0.75">
      <c r="B29" s="73"/>
      <c r="C29" s="70" t="str">
        <f t="shared" si="8"/>
        <v xml:space="preserve"> </v>
      </c>
      <c r="D29" s="97">
        <f t="shared" si="0"/>
        <v>0</v>
      </c>
      <c r="E29" s="60">
        <f t="shared" si="3"/>
        <v>0</v>
      </c>
      <c r="F29" s="74"/>
      <c r="G29" s="59">
        <f t="shared" si="4"/>
        <v>0</v>
      </c>
      <c r="H29" s="26">
        <f t="shared" si="5"/>
        <v>0</v>
      </c>
      <c r="I29" s="26">
        <f t="shared" si="6"/>
        <v>0</v>
      </c>
      <c r="J29" s="27">
        <f t="shared" si="2"/>
        <v>0</v>
      </c>
    </row>
    <row r="30" spans="2:10" x14ac:dyDescent="0.75">
      <c r="B30" s="73"/>
      <c r="C30" s="70" t="str">
        <f t="shared" si="8"/>
        <v xml:space="preserve"> </v>
      </c>
      <c r="D30" s="97">
        <f t="shared" si="0"/>
        <v>0</v>
      </c>
      <c r="E30" s="60">
        <f t="shared" si="3"/>
        <v>0</v>
      </c>
      <c r="F30" s="74"/>
      <c r="G30" s="59">
        <f t="shared" si="4"/>
        <v>0</v>
      </c>
      <c r="H30" s="26">
        <f t="shared" ref="H30:H40" si="9">E30+H29</f>
        <v>0</v>
      </c>
      <c r="I30" s="26">
        <f t="shared" ref="I30:I40" si="10">I29+D30</f>
        <v>0</v>
      </c>
      <c r="J30" s="27">
        <f t="shared" ref="J30:J40" si="11">F30*D30</f>
        <v>0</v>
      </c>
    </row>
    <row r="31" spans="2:10" x14ac:dyDescent="0.75">
      <c r="B31" s="73"/>
      <c r="C31" s="70" t="str">
        <f t="shared" si="8"/>
        <v xml:space="preserve"> </v>
      </c>
      <c r="D31" s="97">
        <f t="shared" si="0"/>
        <v>0</v>
      </c>
      <c r="E31" s="60">
        <f t="shared" si="3"/>
        <v>0</v>
      </c>
      <c r="F31" s="74"/>
      <c r="G31" s="59">
        <f t="shared" si="4"/>
        <v>0</v>
      </c>
      <c r="H31" s="26">
        <f t="shared" si="9"/>
        <v>0</v>
      </c>
      <c r="I31" s="26">
        <f t="shared" si="10"/>
        <v>0</v>
      </c>
      <c r="J31" s="27">
        <f t="shared" si="11"/>
        <v>0</v>
      </c>
    </row>
    <row r="32" spans="2:10" x14ac:dyDescent="0.75">
      <c r="B32" s="73"/>
      <c r="C32" s="70" t="str">
        <f t="shared" si="8"/>
        <v xml:space="preserve"> </v>
      </c>
      <c r="D32" s="97">
        <f t="shared" si="0"/>
        <v>0</v>
      </c>
      <c r="E32" s="60">
        <f t="shared" si="3"/>
        <v>0</v>
      </c>
      <c r="F32" s="74"/>
      <c r="G32" s="59">
        <f t="shared" si="4"/>
        <v>0</v>
      </c>
      <c r="H32" s="26">
        <f t="shared" si="9"/>
        <v>0</v>
      </c>
      <c r="I32" s="26">
        <f t="shared" si="10"/>
        <v>0</v>
      </c>
      <c r="J32" s="27">
        <f t="shared" si="11"/>
        <v>0</v>
      </c>
    </row>
    <row r="33" spans="2:10" x14ac:dyDescent="0.75">
      <c r="B33" s="73"/>
      <c r="C33" s="70" t="str">
        <f t="shared" si="8"/>
        <v xml:space="preserve"> </v>
      </c>
      <c r="D33" s="97">
        <f t="shared" si="0"/>
        <v>0</v>
      </c>
      <c r="E33" s="60">
        <f t="shared" si="3"/>
        <v>0</v>
      </c>
      <c r="F33" s="74"/>
      <c r="G33" s="59">
        <f t="shared" si="4"/>
        <v>0</v>
      </c>
      <c r="H33" s="26">
        <f t="shared" si="9"/>
        <v>0</v>
      </c>
      <c r="I33" s="26">
        <f t="shared" si="10"/>
        <v>0</v>
      </c>
      <c r="J33" s="27">
        <f t="shared" si="11"/>
        <v>0</v>
      </c>
    </row>
    <row r="34" spans="2:10" x14ac:dyDescent="0.75">
      <c r="B34" s="73"/>
      <c r="C34" s="70" t="str">
        <f t="shared" si="8"/>
        <v xml:space="preserve"> </v>
      </c>
      <c r="D34" s="97">
        <f t="shared" si="0"/>
        <v>0</v>
      </c>
      <c r="E34" s="60">
        <f t="shared" si="3"/>
        <v>0</v>
      </c>
      <c r="F34" s="74"/>
      <c r="G34" s="59">
        <f t="shared" si="4"/>
        <v>0</v>
      </c>
      <c r="H34" s="26">
        <f t="shared" si="9"/>
        <v>0</v>
      </c>
      <c r="I34" s="26">
        <f t="shared" si="10"/>
        <v>0</v>
      </c>
      <c r="J34" s="27">
        <f t="shared" si="11"/>
        <v>0</v>
      </c>
    </row>
    <row r="35" spans="2:10" x14ac:dyDescent="0.75">
      <c r="B35" s="73"/>
      <c r="C35" s="70" t="str">
        <f t="shared" si="8"/>
        <v xml:space="preserve"> </v>
      </c>
      <c r="D35" s="97">
        <f t="shared" si="0"/>
        <v>0</v>
      </c>
      <c r="E35" s="60">
        <f t="shared" si="3"/>
        <v>0</v>
      </c>
      <c r="F35" s="74"/>
      <c r="G35" s="59">
        <f t="shared" si="4"/>
        <v>0</v>
      </c>
      <c r="H35" s="26">
        <f t="shared" si="9"/>
        <v>0</v>
      </c>
      <c r="I35" s="26">
        <f t="shared" si="10"/>
        <v>0</v>
      </c>
      <c r="J35" s="27">
        <f t="shared" si="11"/>
        <v>0</v>
      </c>
    </row>
    <row r="36" spans="2:10" x14ac:dyDescent="0.75">
      <c r="B36" s="73"/>
      <c r="C36" s="70" t="str">
        <f t="shared" si="8"/>
        <v xml:space="preserve"> </v>
      </c>
      <c r="D36" s="97">
        <f t="shared" si="0"/>
        <v>0</v>
      </c>
      <c r="E36" s="60">
        <f t="shared" si="3"/>
        <v>0</v>
      </c>
      <c r="F36" s="74"/>
      <c r="G36" s="59">
        <f t="shared" si="4"/>
        <v>0</v>
      </c>
      <c r="H36" s="26">
        <f t="shared" si="9"/>
        <v>0</v>
      </c>
      <c r="I36" s="26">
        <f t="shared" si="10"/>
        <v>0</v>
      </c>
      <c r="J36" s="27">
        <f t="shared" si="11"/>
        <v>0</v>
      </c>
    </row>
    <row r="37" spans="2:10" x14ac:dyDescent="0.75">
      <c r="B37" s="73"/>
      <c r="C37" s="70" t="str">
        <f t="shared" si="8"/>
        <v xml:space="preserve"> </v>
      </c>
      <c r="D37" s="97">
        <f t="shared" si="0"/>
        <v>0</v>
      </c>
      <c r="E37" s="60">
        <f t="shared" si="3"/>
        <v>0</v>
      </c>
      <c r="F37" s="74"/>
      <c r="G37" s="59">
        <f t="shared" si="4"/>
        <v>0</v>
      </c>
      <c r="H37" s="26">
        <f t="shared" si="9"/>
        <v>0</v>
      </c>
      <c r="I37" s="26">
        <f t="shared" si="10"/>
        <v>0</v>
      </c>
      <c r="J37" s="27">
        <f t="shared" si="11"/>
        <v>0</v>
      </c>
    </row>
    <row r="38" spans="2:10" x14ac:dyDescent="0.75">
      <c r="B38" s="73"/>
      <c r="C38" s="70" t="str">
        <f t="shared" si="8"/>
        <v xml:space="preserve"> </v>
      </c>
      <c r="D38" s="97">
        <f t="shared" si="0"/>
        <v>0</v>
      </c>
      <c r="E38" s="60">
        <f t="shared" si="3"/>
        <v>0</v>
      </c>
      <c r="F38" s="74"/>
      <c r="G38" s="59">
        <f t="shared" si="4"/>
        <v>0</v>
      </c>
      <c r="H38" s="26">
        <f t="shared" si="9"/>
        <v>0</v>
      </c>
      <c r="I38" s="26">
        <f t="shared" si="10"/>
        <v>0</v>
      </c>
      <c r="J38" s="27">
        <f t="shared" si="11"/>
        <v>0</v>
      </c>
    </row>
    <row r="39" spans="2:10" x14ac:dyDescent="0.75">
      <c r="B39" s="73"/>
      <c r="C39" s="70" t="str">
        <f t="shared" si="8"/>
        <v xml:space="preserve"> </v>
      </c>
      <c r="D39" s="97">
        <f t="shared" si="0"/>
        <v>0</v>
      </c>
      <c r="E39" s="60">
        <f t="shared" si="3"/>
        <v>0</v>
      </c>
      <c r="F39" s="74"/>
      <c r="G39" s="59">
        <f t="shared" si="4"/>
        <v>0</v>
      </c>
      <c r="H39" s="26">
        <f t="shared" si="9"/>
        <v>0</v>
      </c>
      <c r="I39" s="26">
        <f t="shared" si="10"/>
        <v>0</v>
      </c>
      <c r="J39" s="27">
        <f t="shared" si="11"/>
        <v>0</v>
      </c>
    </row>
    <row r="40" spans="2:10" x14ac:dyDescent="0.75">
      <c r="B40" s="73"/>
      <c r="C40" s="70" t="str">
        <f t="shared" si="8"/>
        <v xml:space="preserve"> </v>
      </c>
      <c r="D40" s="97">
        <f t="shared" si="0"/>
        <v>0</v>
      </c>
      <c r="E40" s="60">
        <f t="shared" si="3"/>
        <v>0</v>
      </c>
      <c r="F40" s="74"/>
      <c r="G40" s="59">
        <f t="shared" si="4"/>
        <v>0</v>
      </c>
      <c r="H40" s="26">
        <f t="shared" si="9"/>
        <v>0</v>
      </c>
      <c r="I40" s="26">
        <f t="shared" si="10"/>
        <v>0</v>
      </c>
      <c r="J40" s="27">
        <f t="shared" si="11"/>
        <v>0</v>
      </c>
    </row>
    <row r="41" spans="2:10" x14ac:dyDescent="0.75">
      <c r="B41" s="73"/>
      <c r="C41" s="70" t="str">
        <f t="shared" si="8"/>
        <v xml:space="preserve"> </v>
      </c>
      <c r="D41" s="97">
        <f t="shared" ref="D41:D66" si="12">IF(ISBLANK(B41),0,IF(((C41-B41+1)+I40)&gt;1750,1750-I40,C41-B41+1))</f>
        <v>0</v>
      </c>
      <c r="E41" s="60">
        <f t="shared" ref="E41:E66" si="13">IF((D41/7)+H40&gt;250,250-H40,D41/7)</f>
        <v>0</v>
      </c>
      <c r="F41" s="74"/>
      <c r="G41" s="59">
        <f t="shared" ref="G41:G66" si="14">D41*F41</f>
        <v>0</v>
      </c>
      <c r="H41" s="26">
        <f t="shared" ref="H41:H66" si="15">E41+H40</f>
        <v>0</v>
      </c>
      <c r="I41" s="26">
        <f t="shared" ref="I41:I66" si="16">I40+D41</f>
        <v>0</v>
      </c>
      <c r="J41" s="27">
        <f t="shared" ref="J41:J66" si="17">F41*D41</f>
        <v>0</v>
      </c>
    </row>
    <row r="42" spans="2:10" x14ac:dyDescent="0.75">
      <c r="B42" s="73"/>
      <c r="C42" s="70" t="str">
        <f t="shared" si="8"/>
        <v xml:space="preserve"> </v>
      </c>
      <c r="D42" s="97">
        <f t="shared" si="12"/>
        <v>0</v>
      </c>
      <c r="E42" s="60">
        <f t="shared" si="13"/>
        <v>0</v>
      </c>
      <c r="F42" s="74"/>
      <c r="G42" s="59">
        <f t="shared" si="14"/>
        <v>0</v>
      </c>
      <c r="H42" s="26">
        <f t="shared" si="15"/>
        <v>0</v>
      </c>
      <c r="I42" s="26">
        <f t="shared" si="16"/>
        <v>0</v>
      </c>
      <c r="J42" s="27">
        <f t="shared" si="17"/>
        <v>0</v>
      </c>
    </row>
    <row r="43" spans="2:10" x14ac:dyDescent="0.75">
      <c r="B43" s="73"/>
      <c r="C43" s="70" t="str">
        <f t="shared" si="8"/>
        <v xml:space="preserve"> </v>
      </c>
      <c r="D43" s="97">
        <f t="shared" si="12"/>
        <v>0</v>
      </c>
      <c r="E43" s="60">
        <f t="shared" si="13"/>
        <v>0</v>
      </c>
      <c r="F43" s="74"/>
      <c r="G43" s="59">
        <f t="shared" si="14"/>
        <v>0</v>
      </c>
      <c r="H43" s="26">
        <f t="shared" si="15"/>
        <v>0</v>
      </c>
      <c r="I43" s="26">
        <f t="shared" si="16"/>
        <v>0</v>
      </c>
      <c r="J43" s="27">
        <f t="shared" si="17"/>
        <v>0</v>
      </c>
    </row>
    <row r="44" spans="2:10" x14ac:dyDescent="0.75">
      <c r="B44" s="73"/>
      <c r="C44" s="70" t="str">
        <f t="shared" si="8"/>
        <v xml:space="preserve"> </v>
      </c>
      <c r="D44" s="97">
        <f t="shared" si="12"/>
        <v>0</v>
      </c>
      <c r="E44" s="60">
        <f t="shared" si="13"/>
        <v>0</v>
      </c>
      <c r="F44" s="74"/>
      <c r="G44" s="59">
        <f t="shared" si="14"/>
        <v>0</v>
      </c>
      <c r="H44" s="26">
        <f t="shared" si="15"/>
        <v>0</v>
      </c>
      <c r="I44" s="26">
        <f t="shared" si="16"/>
        <v>0</v>
      </c>
      <c r="J44" s="27">
        <f t="shared" si="17"/>
        <v>0</v>
      </c>
    </row>
    <row r="45" spans="2:10" x14ac:dyDescent="0.75">
      <c r="B45" s="73"/>
      <c r="C45" s="70" t="str">
        <f t="shared" si="8"/>
        <v xml:space="preserve"> </v>
      </c>
      <c r="D45" s="97">
        <f t="shared" si="12"/>
        <v>0</v>
      </c>
      <c r="E45" s="60">
        <f t="shared" si="13"/>
        <v>0</v>
      </c>
      <c r="F45" s="74"/>
      <c r="G45" s="59">
        <f t="shared" si="14"/>
        <v>0</v>
      </c>
      <c r="H45" s="26">
        <f t="shared" si="15"/>
        <v>0</v>
      </c>
      <c r="I45" s="26">
        <f t="shared" si="16"/>
        <v>0</v>
      </c>
      <c r="J45" s="27">
        <f t="shared" si="17"/>
        <v>0</v>
      </c>
    </row>
    <row r="46" spans="2:10" x14ac:dyDescent="0.75">
      <c r="B46" s="73"/>
      <c r="C46" s="70" t="str">
        <f t="shared" si="8"/>
        <v xml:space="preserve"> </v>
      </c>
      <c r="D46" s="97">
        <f t="shared" si="12"/>
        <v>0</v>
      </c>
      <c r="E46" s="60">
        <f t="shared" si="13"/>
        <v>0</v>
      </c>
      <c r="F46" s="74"/>
      <c r="G46" s="59">
        <f t="shared" si="14"/>
        <v>0</v>
      </c>
      <c r="H46" s="26">
        <f t="shared" si="15"/>
        <v>0</v>
      </c>
      <c r="I46" s="26">
        <f t="shared" si="16"/>
        <v>0</v>
      </c>
      <c r="J46" s="27">
        <f t="shared" si="17"/>
        <v>0</v>
      </c>
    </row>
    <row r="47" spans="2:10" x14ac:dyDescent="0.75">
      <c r="B47" s="73"/>
      <c r="C47" s="70" t="str">
        <f t="shared" si="8"/>
        <v xml:space="preserve"> </v>
      </c>
      <c r="D47" s="97">
        <f t="shared" si="12"/>
        <v>0</v>
      </c>
      <c r="E47" s="60">
        <f t="shared" si="13"/>
        <v>0</v>
      </c>
      <c r="F47" s="74"/>
      <c r="G47" s="59">
        <f t="shared" si="14"/>
        <v>0</v>
      </c>
      <c r="H47" s="26">
        <f t="shared" si="15"/>
        <v>0</v>
      </c>
      <c r="I47" s="26">
        <f t="shared" si="16"/>
        <v>0</v>
      </c>
      <c r="J47" s="27">
        <f t="shared" si="17"/>
        <v>0</v>
      </c>
    </row>
    <row r="48" spans="2:10" x14ac:dyDescent="0.75">
      <c r="B48" s="73"/>
      <c r="C48" s="70" t="str">
        <f t="shared" si="8"/>
        <v xml:space="preserve"> </v>
      </c>
      <c r="D48" s="97">
        <f t="shared" si="12"/>
        <v>0</v>
      </c>
      <c r="E48" s="60">
        <f t="shared" si="13"/>
        <v>0</v>
      </c>
      <c r="F48" s="74"/>
      <c r="G48" s="59">
        <f t="shared" si="14"/>
        <v>0</v>
      </c>
      <c r="H48" s="26">
        <f t="shared" si="15"/>
        <v>0</v>
      </c>
      <c r="I48" s="26">
        <f t="shared" si="16"/>
        <v>0</v>
      </c>
      <c r="J48" s="27">
        <f t="shared" si="17"/>
        <v>0</v>
      </c>
    </row>
    <row r="49" spans="2:10" x14ac:dyDescent="0.75">
      <c r="B49" s="73"/>
      <c r="C49" s="70" t="str">
        <f t="shared" si="8"/>
        <v xml:space="preserve"> </v>
      </c>
      <c r="D49" s="97">
        <f t="shared" si="12"/>
        <v>0</v>
      </c>
      <c r="E49" s="60">
        <f t="shared" si="13"/>
        <v>0</v>
      </c>
      <c r="F49" s="74"/>
      <c r="G49" s="59">
        <f t="shared" si="14"/>
        <v>0</v>
      </c>
      <c r="H49" s="26">
        <f t="shared" si="15"/>
        <v>0</v>
      </c>
      <c r="I49" s="26">
        <f t="shared" si="16"/>
        <v>0</v>
      </c>
      <c r="J49" s="27">
        <f t="shared" si="17"/>
        <v>0</v>
      </c>
    </row>
    <row r="50" spans="2:10" x14ac:dyDescent="0.75">
      <c r="B50" s="73"/>
      <c r="C50" s="70" t="str">
        <f t="shared" si="8"/>
        <v xml:space="preserve"> </v>
      </c>
      <c r="D50" s="97">
        <f t="shared" si="12"/>
        <v>0</v>
      </c>
      <c r="E50" s="60">
        <f t="shared" si="13"/>
        <v>0</v>
      </c>
      <c r="F50" s="74"/>
      <c r="G50" s="59">
        <f t="shared" si="14"/>
        <v>0</v>
      </c>
      <c r="H50" s="26">
        <f t="shared" si="15"/>
        <v>0</v>
      </c>
      <c r="I50" s="26">
        <f t="shared" si="16"/>
        <v>0</v>
      </c>
      <c r="J50" s="27">
        <f t="shared" si="17"/>
        <v>0</v>
      </c>
    </row>
    <row r="51" spans="2:10" x14ac:dyDescent="0.75">
      <c r="B51" s="73"/>
      <c r="C51" s="70" t="str">
        <f t="shared" si="8"/>
        <v xml:space="preserve"> </v>
      </c>
      <c r="D51" s="97">
        <f t="shared" si="12"/>
        <v>0</v>
      </c>
      <c r="E51" s="60">
        <f t="shared" si="13"/>
        <v>0</v>
      </c>
      <c r="F51" s="74"/>
      <c r="G51" s="59">
        <f t="shared" si="14"/>
        <v>0</v>
      </c>
      <c r="H51" s="26">
        <f t="shared" si="15"/>
        <v>0</v>
      </c>
      <c r="I51" s="26">
        <f t="shared" si="16"/>
        <v>0</v>
      </c>
      <c r="J51" s="27">
        <f t="shared" si="17"/>
        <v>0</v>
      </c>
    </row>
    <row r="52" spans="2:10" x14ac:dyDescent="0.75">
      <c r="B52" s="73"/>
      <c r="C52" s="70" t="str">
        <f t="shared" si="8"/>
        <v xml:space="preserve"> </v>
      </c>
      <c r="D52" s="97">
        <f t="shared" si="12"/>
        <v>0</v>
      </c>
      <c r="E52" s="60">
        <f t="shared" si="13"/>
        <v>0</v>
      </c>
      <c r="F52" s="74"/>
      <c r="G52" s="59">
        <f t="shared" si="14"/>
        <v>0</v>
      </c>
      <c r="H52" s="26">
        <f t="shared" si="15"/>
        <v>0</v>
      </c>
      <c r="I52" s="26">
        <f t="shared" si="16"/>
        <v>0</v>
      </c>
      <c r="J52" s="27">
        <f t="shared" si="17"/>
        <v>0</v>
      </c>
    </row>
    <row r="53" spans="2:10" x14ac:dyDescent="0.75">
      <c r="B53" s="73"/>
      <c r="C53" s="70" t="str">
        <f t="shared" si="8"/>
        <v xml:space="preserve"> </v>
      </c>
      <c r="D53" s="97">
        <f t="shared" si="12"/>
        <v>0</v>
      </c>
      <c r="E53" s="60">
        <f t="shared" si="13"/>
        <v>0</v>
      </c>
      <c r="F53" s="74"/>
      <c r="G53" s="59">
        <f t="shared" si="14"/>
        <v>0</v>
      </c>
      <c r="H53" s="26">
        <f t="shared" si="15"/>
        <v>0</v>
      </c>
      <c r="I53" s="26">
        <f t="shared" si="16"/>
        <v>0</v>
      </c>
      <c r="J53" s="27">
        <f t="shared" si="17"/>
        <v>0</v>
      </c>
    </row>
    <row r="54" spans="2:10" x14ac:dyDescent="0.75">
      <c r="B54" s="73"/>
      <c r="C54" s="70" t="str">
        <f t="shared" si="8"/>
        <v xml:space="preserve"> </v>
      </c>
      <c r="D54" s="97">
        <f t="shared" si="12"/>
        <v>0</v>
      </c>
      <c r="E54" s="60">
        <f t="shared" si="13"/>
        <v>0</v>
      </c>
      <c r="F54" s="74"/>
      <c r="G54" s="59">
        <f t="shared" si="14"/>
        <v>0</v>
      </c>
      <c r="H54" s="26">
        <f t="shared" si="15"/>
        <v>0</v>
      </c>
      <c r="I54" s="26">
        <f t="shared" si="16"/>
        <v>0</v>
      </c>
      <c r="J54" s="27">
        <f t="shared" si="17"/>
        <v>0</v>
      </c>
    </row>
    <row r="55" spans="2:10" x14ac:dyDescent="0.75">
      <c r="B55" s="73"/>
      <c r="C55" s="70" t="str">
        <f t="shared" si="8"/>
        <v xml:space="preserve"> </v>
      </c>
      <c r="D55" s="97">
        <f t="shared" si="12"/>
        <v>0</v>
      </c>
      <c r="E55" s="60">
        <f t="shared" si="13"/>
        <v>0</v>
      </c>
      <c r="F55" s="74"/>
      <c r="G55" s="59">
        <f t="shared" si="14"/>
        <v>0</v>
      </c>
      <c r="H55" s="26">
        <f t="shared" si="15"/>
        <v>0</v>
      </c>
      <c r="I55" s="26">
        <f t="shared" si="16"/>
        <v>0</v>
      </c>
      <c r="J55" s="27">
        <f t="shared" si="17"/>
        <v>0</v>
      </c>
    </row>
    <row r="56" spans="2:10" x14ac:dyDescent="0.75">
      <c r="B56" s="73"/>
      <c r="C56" s="70" t="str">
        <f t="shared" si="8"/>
        <v xml:space="preserve"> </v>
      </c>
      <c r="D56" s="97">
        <f t="shared" si="12"/>
        <v>0</v>
      </c>
      <c r="E56" s="60">
        <f t="shared" si="13"/>
        <v>0</v>
      </c>
      <c r="F56" s="74"/>
      <c r="G56" s="59">
        <f t="shared" si="14"/>
        <v>0</v>
      </c>
      <c r="H56" s="26">
        <f t="shared" si="15"/>
        <v>0</v>
      </c>
      <c r="I56" s="26">
        <f t="shared" si="16"/>
        <v>0</v>
      </c>
      <c r="J56" s="27">
        <f t="shared" si="17"/>
        <v>0</v>
      </c>
    </row>
    <row r="57" spans="2:10" x14ac:dyDescent="0.75">
      <c r="B57" s="73"/>
      <c r="C57" s="70" t="str">
        <f t="shared" si="8"/>
        <v xml:space="preserve"> </v>
      </c>
      <c r="D57" s="97">
        <f t="shared" si="12"/>
        <v>0</v>
      </c>
      <c r="E57" s="60">
        <f t="shared" si="13"/>
        <v>0</v>
      </c>
      <c r="F57" s="74"/>
      <c r="G57" s="59">
        <f t="shared" si="14"/>
        <v>0</v>
      </c>
      <c r="H57" s="26">
        <f t="shared" si="15"/>
        <v>0</v>
      </c>
      <c r="I57" s="26">
        <f t="shared" si="16"/>
        <v>0</v>
      </c>
      <c r="J57" s="27">
        <f t="shared" si="17"/>
        <v>0</v>
      </c>
    </row>
    <row r="58" spans="2:10" x14ac:dyDescent="0.75">
      <c r="B58" s="73"/>
      <c r="C58" s="70" t="str">
        <f t="shared" si="8"/>
        <v xml:space="preserve"> </v>
      </c>
      <c r="D58" s="97">
        <f t="shared" si="12"/>
        <v>0</v>
      </c>
      <c r="E58" s="60">
        <f t="shared" si="13"/>
        <v>0</v>
      </c>
      <c r="F58" s="74"/>
      <c r="G58" s="59">
        <f t="shared" si="14"/>
        <v>0</v>
      </c>
      <c r="H58" s="26">
        <f t="shared" si="15"/>
        <v>0</v>
      </c>
      <c r="I58" s="26">
        <f t="shared" si="16"/>
        <v>0</v>
      </c>
      <c r="J58" s="27">
        <f t="shared" si="17"/>
        <v>0</v>
      </c>
    </row>
    <row r="59" spans="2:10" x14ac:dyDescent="0.75">
      <c r="B59" s="73"/>
      <c r="C59" s="70" t="str">
        <f t="shared" si="8"/>
        <v xml:space="preserve"> </v>
      </c>
      <c r="D59" s="97">
        <f t="shared" si="12"/>
        <v>0</v>
      </c>
      <c r="E59" s="60">
        <f t="shared" si="13"/>
        <v>0</v>
      </c>
      <c r="F59" s="74"/>
      <c r="G59" s="59">
        <f t="shared" si="14"/>
        <v>0</v>
      </c>
      <c r="H59" s="26">
        <f t="shared" si="15"/>
        <v>0</v>
      </c>
      <c r="I59" s="26">
        <f t="shared" si="16"/>
        <v>0</v>
      </c>
      <c r="J59" s="27">
        <f t="shared" si="17"/>
        <v>0</v>
      </c>
    </row>
    <row r="60" spans="2:10" x14ac:dyDescent="0.75">
      <c r="B60" s="73"/>
      <c r="C60" s="70" t="str">
        <f t="shared" si="8"/>
        <v xml:space="preserve"> </v>
      </c>
      <c r="D60" s="97">
        <f t="shared" si="12"/>
        <v>0</v>
      </c>
      <c r="E60" s="60">
        <f t="shared" si="13"/>
        <v>0</v>
      </c>
      <c r="F60" s="74"/>
      <c r="G60" s="59">
        <f t="shared" si="14"/>
        <v>0</v>
      </c>
      <c r="H60" s="26">
        <f t="shared" si="15"/>
        <v>0</v>
      </c>
      <c r="I60" s="26">
        <f t="shared" si="16"/>
        <v>0</v>
      </c>
      <c r="J60" s="27">
        <f t="shared" si="17"/>
        <v>0</v>
      </c>
    </row>
    <row r="61" spans="2:10" x14ac:dyDescent="0.75">
      <c r="B61" s="73"/>
      <c r="C61" s="70" t="str">
        <f t="shared" si="8"/>
        <v xml:space="preserve"> </v>
      </c>
      <c r="D61" s="97">
        <f t="shared" si="12"/>
        <v>0</v>
      </c>
      <c r="E61" s="60">
        <f t="shared" si="13"/>
        <v>0</v>
      </c>
      <c r="F61" s="74"/>
      <c r="G61" s="59">
        <f t="shared" si="14"/>
        <v>0</v>
      </c>
      <c r="H61" s="26">
        <f t="shared" si="15"/>
        <v>0</v>
      </c>
      <c r="I61" s="26">
        <f t="shared" si="16"/>
        <v>0</v>
      </c>
      <c r="J61" s="27">
        <f t="shared" si="17"/>
        <v>0</v>
      </c>
    </row>
    <row r="62" spans="2:10" x14ac:dyDescent="0.75">
      <c r="B62" s="73"/>
      <c r="C62" s="70" t="str">
        <f t="shared" si="8"/>
        <v xml:space="preserve"> </v>
      </c>
      <c r="D62" s="97">
        <f t="shared" si="12"/>
        <v>0</v>
      </c>
      <c r="E62" s="60">
        <f t="shared" si="13"/>
        <v>0</v>
      </c>
      <c r="F62" s="74"/>
      <c r="G62" s="59">
        <f t="shared" si="14"/>
        <v>0</v>
      </c>
      <c r="H62" s="26">
        <f t="shared" si="15"/>
        <v>0</v>
      </c>
      <c r="I62" s="26">
        <f t="shared" si="16"/>
        <v>0</v>
      </c>
      <c r="J62" s="27">
        <f t="shared" si="17"/>
        <v>0</v>
      </c>
    </row>
    <row r="63" spans="2:10" x14ac:dyDescent="0.75">
      <c r="B63" s="73"/>
      <c r="C63" s="70" t="str">
        <f t="shared" si="8"/>
        <v xml:space="preserve"> </v>
      </c>
      <c r="D63" s="97">
        <f t="shared" si="12"/>
        <v>0</v>
      </c>
      <c r="E63" s="60">
        <f t="shared" si="13"/>
        <v>0</v>
      </c>
      <c r="F63" s="74"/>
      <c r="G63" s="59">
        <f t="shared" si="14"/>
        <v>0</v>
      </c>
      <c r="H63" s="26">
        <f t="shared" si="15"/>
        <v>0</v>
      </c>
      <c r="I63" s="26">
        <f t="shared" si="16"/>
        <v>0</v>
      </c>
      <c r="J63" s="27">
        <f t="shared" si="17"/>
        <v>0</v>
      </c>
    </row>
    <row r="64" spans="2:10" x14ac:dyDescent="0.75">
      <c r="B64" s="73"/>
      <c r="C64" s="70" t="str">
        <f t="shared" si="8"/>
        <v xml:space="preserve"> </v>
      </c>
      <c r="D64" s="97">
        <f t="shared" si="12"/>
        <v>0</v>
      </c>
      <c r="E64" s="60">
        <f t="shared" si="13"/>
        <v>0</v>
      </c>
      <c r="F64" s="74"/>
      <c r="G64" s="59">
        <f t="shared" si="14"/>
        <v>0</v>
      </c>
      <c r="H64" s="26">
        <f t="shared" si="15"/>
        <v>0</v>
      </c>
      <c r="I64" s="26">
        <f t="shared" si="16"/>
        <v>0</v>
      </c>
      <c r="J64" s="27">
        <f t="shared" si="17"/>
        <v>0</v>
      </c>
    </row>
    <row r="65" spans="2:10" x14ac:dyDescent="0.75">
      <c r="B65" s="73"/>
      <c r="C65" s="70" t="str">
        <f t="shared" si="8"/>
        <v xml:space="preserve"> </v>
      </c>
      <c r="D65" s="97">
        <f t="shared" si="12"/>
        <v>0</v>
      </c>
      <c r="E65" s="60">
        <f t="shared" si="13"/>
        <v>0</v>
      </c>
      <c r="F65" s="74"/>
      <c r="G65" s="59">
        <f t="shared" si="14"/>
        <v>0</v>
      </c>
      <c r="H65" s="26">
        <f t="shared" si="15"/>
        <v>0</v>
      </c>
      <c r="I65" s="26">
        <f t="shared" si="16"/>
        <v>0</v>
      </c>
      <c r="J65" s="27">
        <f t="shared" si="17"/>
        <v>0</v>
      </c>
    </row>
    <row r="66" spans="2:10" x14ac:dyDescent="0.75">
      <c r="B66" s="73"/>
      <c r="C66" s="70" t="str">
        <f t="shared" si="8"/>
        <v xml:space="preserve"> </v>
      </c>
      <c r="D66" s="97">
        <f t="shared" si="12"/>
        <v>0</v>
      </c>
      <c r="E66" s="60">
        <f t="shared" si="13"/>
        <v>0</v>
      </c>
      <c r="F66" s="74"/>
      <c r="G66" s="59">
        <f t="shared" si="14"/>
        <v>0</v>
      </c>
      <c r="H66" s="26">
        <f t="shared" si="15"/>
        <v>0</v>
      </c>
      <c r="I66" s="26">
        <f t="shared" si="16"/>
        <v>0</v>
      </c>
      <c r="J66" s="27">
        <f t="shared" si="17"/>
        <v>0</v>
      </c>
    </row>
    <row r="67" spans="2:10" ht="15.5" collapsed="1" thickBot="1" x14ac:dyDescent="0.9">
      <c r="B67" s="61" t="s">
        <v>24</v>
      </c>
      <c r="C67" s="62"/>
      <c r="D67" s="98">
        <f>SUM(D5:D66)</f>
        <v>0</v>
      </c>
      <c r="E67" s="63">
        <f>SUM(E5:E66)</f>
        <v>0</v>
      </c>
      <c r="F67" s="64" t="s">
        <v>91</v>
      </c>
      <c r="G67" s="65">
        <f>SUM(G5:G66)</f>
        <v>0</v>
      </c>
      <c r="H67" s="1"/>
      <c r="I67" s="1"/>
      <c r="J67" s="105">
        <f>SUM(J5:J20)</f>
        <v>0</v>
      </c>
    </row>
    <row r="68" spans="2:10" x14ac:dyDescent="0.75">
      <c r="B68" s="66"/>
      <c r="C68" s="66"/>
      <c r="D68" s="67" t="s">
        <v>24</v>
      </c>
      <c r="E68" s="68"/>
      <c r="F68" s="69" t="s">
        <v>95</v>
      </c>
      <c r="G68" s="69">
        <f>IFERROR(G67/D67,0)</f>
        <v>0</v>
      </c>
      <c r="H68" s="1"/>
      <c r="I68" s="1"/>
      <c r="J68" s="24">
        <f>IFERROR(J67/D67,0)</f>
        <v>0</v>
      </c>
    </row>
  </sheetData>
  <sheetProtection algorithmName="SHA-512" hashValue="UC2pt8VcA5AW0RZxa29LZUVZC7S68IrjgZC+SVlA2HPxn1NqADtixc2khrP0d6V2H6d1yGaltFtNEdT5YKLlgg==" saltValue="NpC3eL4gQUfUVdxQazfLBw==" spinCount="100000" sheet="1" objects="1" scenarios="1"/>
  <dataValidations count="2">
    <dataValidation type="date" operator="greaterThan" allowBlank="1" showInputMessage="1" showErrorMessage="1" sqref="C5 B5:B66" xr:uid="{00000000-0002-0000-0200-000000000000}">
      <formula1>1</formula1>
    </dataValidation>
    <dataValidation type="date" operator="greaterThan" allowBlank="1" showInputMessage="1" showErrorMessage="1" sqref="C6:C66" xr:uid="{00000000-0002-0000-0200-000001000000}">
      <formula1>36161</formula1>
    </dataValidation>
  </dataValidations>
  <printOptions horizontalCentered="1" verticalCentered="1"/>
  <pageMargins left="0.39370078740157483" right="0.39370078740157483" top="0.39370078740157483" bottom="0.39370078740157483" header="0" footer="0"/>
  <pageSetup scale="97" orientation="portrait" r:id="rId1"/>
  <ignoredErrors>
    <ignoredError sqref="C51:C66 C44:C50 C9:C43 C7:C8" unlockedFormula="1"/>
  </ignoredError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002060"/>
    <pageSetUpPr fitToPage="1"/>
  </sheetPr>
  <dimension ref="C1:CO29"/>
  <sheetViews>
    <sheetView showGridLines="0" topLeftCell="A3" zoomScale="80" zoomScaleNormal="80" workbookViewId="0">
      <pane xSplit="8" ySplit="6" topLeftCell="I9" activePane="bottomRight" state="frozen"/>
      <selection activeCell="A3" sqref="A3"/>
      <selection pane="topRight" activeCell="I3" sqref="I3"/>
      <selection pane="bottomLeft" activeCell="A9" sqref="A9"/>
      <selection pane="bottomRight" activeCell="AE9" sqref="AE9:AE20"/>
    </sheetView>
  </sheetViews>
  <sheetFormatPr baseColWidth="10" defaultRowHeight="14.75" x14ac:dyDescent="0.75"/>
  <cols>
    <col min="1" max="2" width="2.7265625" customWidth="1"/>
    <col min="3" max="3" width="28.81640625" bestFit="1" customWidth="1"/>
    <col min="4" max="6" width="3.7265625" customWidth="1"/>
    <col min="7" max="7" width="15.7265625" customWidth="1"/>
    <col min="8" max="8" width="15.7265625" hidden="1" customWidth="1"/>
    <col min="9" max="11" width="3.7265625" customWidth="1"/>
    <col min="12" max="12" width="15.7265625" customWidth="1"/>
    <col min="13" max="13" width="15.7265625" hidden="1" customWidth="1"/>
    <col min="14" max="16" width="3.7265625" customWidth="1"/>
    <col min="17" max="17" width="15.7265625" customWidth="1"/>
    <col min="18" max="18" width="15.7265625" hidden="1" customWidth="1"/>
    <col min="19" max="21" width="3.7265625" customWidth="1"/>
    <col min="22" max="22" width="15.7265625" customWidth="1"/>
    <col min="23" max="23" width="15.7265625" hidden="1" customWidth="1"/>
    <col min="24" max="26" width="3.7265625" customWidth="1"/>
    <col min="27" max="27" width="15.7265625" customWidth="1"/>
    <col min="28" max="28" width="15.7265625" hidden="1" customWidth="1"/>
    <col min="29" max="31" width="3.7265625" customWidth="1"/>
    <col min="32" max="32" width="15.7265625" customWidth="1"/>
    <col min="33" max="33" width="15.7265625" hidden="1" customWidth="1"/>
    <col min="34" max="36" width="3.7265625" customWidth="1"/>
    <col min="37" max="37" width="15.7265625" customWidth="1"/>
    <col min="38" max="38" width="15.7265625" hidden="1" customWidth="1"/>
    <col min="39" max="41" width="3.7265625" customWidth="1"/>
    <col min="42" max="42" width="15.7265625" customWidth="1"/>
    <col min="43" max="43" width="15.7265625" hidden="1" customWidth="1"/>
    <col min="44" max="46" width="3.7265625" customWidth="1"/>
    <col min="47" max="47" width="15.7265625" customWidth="1"/>
    <col min="48" max="48" width="15.7265625" hidden="1" customWidth="1"/>
    <col min="49" max="51" width="3.7265625" customWidth="1"/>
    <col min="52" max="52" width="15.7265625" customWidth="1"/>
    <col min="53" max="53" width="15.7265625" hidden="1" customWidth="1"/>
    <col min="54" max="56" width="3.7265625" customWidth="1"/>
    <col min="57" max="57" width="15.7265625" customWidth="1"/>
    <col min="58" max="58" width="15.7265625" hidden="1" customWidth="1"/>
    <col min="59" max="61" width="3.7265625" customWidth="1"/>
    <col min="62" max="62" width="15.7265625" customWidth="1"/>
    <col min="63" max="63" width="15.7265625" hidden="1" customWidth="1"/>
    <col min="64" max="66" width="3.7265625" customWidth="1"/>
    <col min="67" max="67" width="15.7265625" customWidth="1"/>
    <col min="68" max="68" width="15.7265625" hidden="1" customWidth="1"/>
    <col min="69" max="71" width="3.7265625" customWidth="1"/>
    <col min="72" max="72" width="15.7265625" customWidth="1"/>
    <col min="73" max="73" width="15.7265625" hidden="1" customWidth="1"/>
    <col min="74" max="76" width="3.7265625" customWidth="1"/>
    <col min="77" max="77" width="15.7265625" customWidth="1"/>
    <col min="78" max="78" width="15.7265625" hidden="1" customWidth="1"/>
    <col min="79" max="81" width="3.7265625" customWidth="1"/>
    <col min="82" max="82" width="15.7265625" customWidth="1"/>
    <col min="83" max="83" width="15.7265625" hidden="1" customWidth="1"/>
    <col min="84" max="86" width="3.7265625" customWidth="1"/>
    <col min="87" max="87" width="15.7265625" customWidth="1"/>
    <col min="88" max="88" width="15.7265625" hidden="1" customWidth="1"/>
    <col min="89" max="91" width="3.7265625" customWidth="1"/>
    <col min="92" max="92" width="15.7265625" customWidth="1"/>
    <col min="93" max="93" width="15.7265625" hidden="1" customWidth="1"/>
  </cols>
  <sheetData>
    <row r="1" spans="3:93" ht="15" customHeight="1" x14ac:dyDescent="0.75">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U1" s="30"/>
      <c r="BZ1" s="30"/>
      <c r="CE1" s="30"/>
      <c r="CJ1" s="30"/>
      <c r="CO1" s="30"/>
    </row>
    <row r="2" spans="3:93" ht="72.75" customHeight="1" x14ac:dyDescent="0.75">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U2" s="30"/>
      <c r="BZ2" s="30"/>
      <c r="CE2" s="30"/>
      <c r="CJ2" s="30"/>
      <c r="CO2" s="30"/>
    </row>
    <row r="3" spans="3:93" ht="15" customHeight="1" x14ac:dyDescent="0.75">
      <c r="C3" s="30"/>
      <c r="D3" s="30"/>
      <c r="E3" s="30"/>
      <c r="F3" s="30"/>
      <c r="G3" s="46" t="s">
        <v>24</v>
      </c>
      <c r="H3" s="46"/>
      <c r="I3" s="30" t="s">
        <v>24</v>
      </c>
      <c r="J3" s="30"/>
      <c r="K3" s="30"/>
      <c r="L3" s="30"/>
      <c r="M3" s="30"/>
      <c r="N3" s="30" t="s">
        <v>24</v>
      </c>
      <c r="O3" s="30"/>
      <c r="P3" s="30"/>
      <c r="Q3" s="30"/>
      <c r="R3" s="30"/>
      <c r="S3" s="30" t="s">
        <v>24</v>
      </c>
      <c r="T3" s="30"/>
      <c r="U3" s="30"/>
      <c r="V3" s="30"/>
      <c r="W3" s="30"/>
      <c r="X3" s="30" t="s">
        <v>24</v>
      </c>
      <c r="Y3" s="30"/>
      <c r="Z3" s="30"/>
      <c r="AA3" s="30"/>
      <c r="AB3" s="30"/>
      <c r="AC3" s="30" t="s">
        <v>24</v>
      </c>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U3" s="30"/>
      <c r="BZ3" s="30"/>
      <c r="CE3" s="30"/>
      <c r="CJ3" s="30"/>
      <c r="CO3" s="30"/>
    </row>
    <row r="4" spans="3:93" ht="23.5" x14ac:dyDescent="1.1000000000000001">
      <c r="C4" s="47" t="s">
        <v>59</v>
      </c>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row>
    <row r="5" spans="3:93" x14ac:dyDescent="0.75">
      <c r="C5" s="48"/>
      <c r="D5" s="48"/>
      <c r="E5" s="48"/>
      <c r="F5" s="48"/>
      <c r="G5" s="48">
        <v>2018</v>
      </c>
      <c r="H5" s="48"/>
      <c r="I5" s="48"/>
      <c r="J5" s="48"/>
      <c r="K5" s="48"/>
      <c r="L5" s="48">
        <v>2019</v>
      </c>
      <c r="M5" s="48"/>
      <c r="N5" s="48"/>
      <c r="O5" s="48"/>
      <c r="P5" s="48"/>
      <c r="Q5" s="48">
        <v>2020</v>
      </c>
      <c r="R5" s="48"/>
      <c r="S5" s="48"/>
      <c r="T5" s="48"/>
      <c r="U5" s="48"/>
      <c r="V5" s="48">
        <v>2021</v>
      </c>
      <c r="W5" s="48"/>
      <c r="X5" s="48"/>
      <c r="Y5" s="48"/>
      <c r="Z5" s="48"/>
      <c r="AA5" s="48">
        <v>2022</v>
      </c>
      <c r="AB5" s="48"/>
      <c r="AC5" s="48"/>
      <c r="AD5" s="48"/>
      <c r="AE5" s="48"/>
      <c r="AF5" s="48">
        <v>2023</v>
      </c>
      <c r="AG5" s="48"/>
      <c r="AH5" s="48"/>
      <c r="AI5" s="48"/>
      <c r="AJ5" s="48"/>
      <c r="AK5" s="48">
        <v>2024</v>
      </c>
      <c r="AL5" s="48"/>
      <c r="AM5" s="48"/>
      <c r="AN5" s="48"/>
      <c r="AO5" s="48"/>
      <c r="AP5" s="48">
        <v>2025</v>
      </c>
      <c r="AQ5" s="48"/>
      <c r="AR5" s="48"/>
      <c r="AS5" s="48"/>
      <c r="AT5" s="48"/>
      <c r="AU5" s="48">
        <v>2026</v>
      </c>
      <c r="AV5" s="48"/>
      <c r="AW5" s="48"/>
      <c r="AX5" s="48"/>
      <c r="AY5" s="48"/>
      <c r="AZ5" s="48">
        <v>2027</v>
      </c>
      <c r="BA5" s="48"/>
      <c r="BB5" s="48"/>
      <c r="BC5" s="48"/>
      <c r="BD5" s="48"/>
      <c r="BE5" s="48">
        <v>2028</v>
      </c>
      <c r="BF5" s="48"/>
      <c r="BG5" s="48"/>
      <c r="BH5" s="48"/>
      <c r="BI5" s="48"/>
      <c r="BJ5" s="48">
        <v>2029</v>
      </c>
      <c r="BK5" s="48"/>
      <c r="BL5" s="48"/>
      <c r="BM5" s="48"/>
      <c r="BN5" s="48"/>
      <c r="BO5" s="48">
        <v>2030</v>
      </c>
      <c r="BP5" s="48"/>
      <c r="BQ5" s="48"/>
      <c r="BR5" s="48"/>
      <c r="BS5" s="48"/>
      <c r="BT5" s="48">
        <v>2031</v>
      </c>
      <c r="BU5" s="48"/>
      <c r="BV5" s="48"/>
      <c r="BW5" s="48"/>
      <c r="BX5" s="48"/>
      <c r="BY5" s="48">
        <v>2032</v>
      </c>
      <c r="BZ5" s="48"/>
      <c r="CA5" s="48"/>
      <c r="CB5" s="48"/>
      <c r="CC5" s="48"/>
      <c r="CD5" s="48">
        <v>2033</v>
      </c>
      <c r="CE5" s="48"/>
      <c r="CF5" s="48"/>
      <c r="CG5" s="48"/>
      <c r="CH5" s="48"/>
      <c r="CI5" s="48">
        <v>2034</v>
      </c>
      <c r="CJ5" s="48"/>
      <c r="CK5" s="48"/>
      <c r="CL5" s="48"/>
      <c r="CM5" s="48"/>
      <c r="CN5" s="48">
        <v>2035</v>
      </c>
      <c r="CO5" s="48"/>
    </row>
    <row r="6" spans="3:93" x14ac:dyDescent="0.75">
      <c r="C6" s="48" t="s">
        <v>106</v>
      </c>
      <c r="D6" s="48"/>
      <c r="E6" s="48"/>
      <c r="F6" s="48"/>
      <c r="G6" s="90">
        <v>0.10075000000000001</v>
      </c>
      <c r="H6" s="90"/>
      <c r="I6" s="48"/>
      <c r="J6" s="48"/>
      <c r="K6" s="48"/>
      <c r="L6" s="90">
        <v>0.10075000000000001</v>
      </c>
      <c r="M6" s="90"/>
      <c r="N6" s="48"/>
      <c r="O6" s="48"/>
      <c r="P6" s="48"/>
      <c r="Q6" s="90">
        <v>0.10075000000000001</v>
      </c>
      <c r="R6" s="90"/>
      <c r="S6" s="48"/>
      <c r="T6" s="48"/>
      <c r="U6" s="48"/>
      <c r="V6" s="90">
        <v>0.10075000000000001</v>
      </c>
      <c r="W6" s="90"/>
      <c r="X6" s="48"/>
      <c r="Y6" s="48"/>
      <c r="Z6" s="48"/>
      <c r="AA6" s="90">
        <v>0.10075000000000001</v>
      </c>
      <c r="AB6" s="90"/>
      <c r="AC6" s="48"/>
      <c r="AD6" s="48"/>
      <c r="AE6" s="48"/>
      <c r="AF6" s="90">
        <v>0.11166</v>
      </c>
      <c r="AG6" s="90"/>
      <c r="AH6" s="48"/>
      <c r="AI6" s="48"/>
      <c r="AJ6" s="48"/>
      <c r="AK6" s="90">
        <v>0.12256</v>
      </c>
      <c r="AL6" s="90"/>
      <c r="AM6" s="48"/>
      <c r="AN6" s="48"/>
      <c r="AO6" s="48"/>
      <c r="AP6" s="90">
        <v>0.13347000000000001</v>
      </c>
      <c r="AQ6" s="90"/>
      <c r="AR6" s="48"/>
      <c r="AS6" s="48"/>
      <c r="AT6" s="48"/>
      <c r="AU6" s="90">
        <v>0.14438000000000001</v>
      </c>
      <c r="AV6" s="90"/>
      <c r="AW6" s="48"/>
      <c r="AX6" s="48"/>
      <c r="AY6" s="48"/>
      <c r="AZ6" s="90">
        <v>0.15528</v>
      </c>
      <c r="BA6" s="90"/>
      <c r="BB6" s="48"/>
      <c r="BC6" s="48"/>
      <c r="BD6" s="48"/>
      <c r="BE6" s="90">
        <v>0.16619</v>
      </c>
      <c r="BF6" s="90"/>
      <c r="BG6" s="48"/>
      <c r="BH6" s="48"/>
      <c r="BI6" s="48"/>
      <c r="BJ6" s="90">
        <v>0.17709</v>
      </c>
      <c r="BK6" s="90"/>
      <c r="BL6" s="48"/>
      <c r="BM6" s="48"/>
      <c r="BN6" s="48"/>
      <c r="BO6" s="90">
        <v>0.188</v>
      </c>
      <c r="BP6" s="90"/>
      <c r="BQ6" s="48"/>
      <c r="BR6" s="48"/>
      <c r="BS6" s="48"/>
      <c r="BT6" s="90">
        <v>0.188</v>
      </c>
      <c r="BU6" s="90"/>
      <c r="BV6" s="48"/>
      <c r="BW6" s="48"/>
      <c r="BX6" s="48"/>
      <c r="BY6" s="90">
        <v>0.188</v>
      </c>
      <c r="BZ6" s="90"/>
      <c r="CA6" s="48"/>
      <c r="CB6" s="48"/>
      <c r="CC6" s="48"/>
      <c r="CD6" s="90">
        <v>0.188</v>
      </c>
      <c r="CE6" s="90"/>
      <c r="CF6" s="48"/>
      <c r="CG6" s="48"/>
      <c r="CH6" s="48"/>
      <c r="CI6" s="90">
        <v>0.188</v>
      </c>
      <c r="CJ6" s="90"/>
      <c r="CK6" s="48"/>
      <c r="CL6" s="48"/>
      <c r="CM6" s="48"/>
      <c r="CN6" s="90">
        <v>0.188</v>
      </c>
      <c r="CO6" s="90"/>
    </row>
    <row r="7" spans="3:93" x14ac:dyDescent="0.75">
      <c r="C7" s="48" t="s">
        <v>80</v>
      </c>
      <c r="D7" s="48"/>
      <c r="E7" s="48"/>
      <c r="F7" s="48"/>
      <c r="G7" s="57"/>
      <c r="H7" s="57"/>
      <c r="I7" s="48"/>
      <c r="J7" s="48"/>
      <c r="K7" s="48"/>
      <c r="L7" s="57"/>
      <c r="M7" s="57"/>
      <c r="N7" s="48"/>
      <c r="O7" s="48"/>
      <c r="P7" s="48"/>
      <c r="Q7" s="57"/>
      <c r="R7" s="57"/>
      <c r="S7" s="48"/>
      <c r="T7" s="48"/>
      <c r="U7" s="48"/>
      <c r="V7" s="57"/>
      <c r="W7" s="57"/>
      <c r="X7" s="48"/>
      <c r="Y7" s="48"/>
      <c r="Z7" s="48"/>
      <c r="AA7" s="57"/>
      <c r="AB7" s="57"/>
      <c r="AC7" s="48"/>
      <c r="AD7" s="48"/>
      <c r="AE7" s="48"/>
      <c r="AF7" s="57"/>
      <c r="AG7" s="57"/>
      <c r="AH7" s="48"/>
      <c r="AI7" s="48"/>
      <c r="AJ7" s="48"/>
      <c r="AK7" s="57">
        <v>0</v>
      </c>
      <c r="AL7" s="57"/>
      <c r="AM7" s="48"/>
      <c r="AN7" s="48"/>
      <c r="AO7" s="48"/>
      <c r="AP7" s="57">
        <v>0</v>
      </c>
      <c r="AQ7" s="57"/>
      <c r="AR7" s="48"/>
      <c r="AS7" s="48"/>
      <c r="AT7" s="48"/>
      <c r="AU7" s="57">
        <v>0</v>
      </c>
      <c r="AV7" s="57"/>
      <c r="AW7" s="48"/>
      <c r="AX7" s="48"/>
      <c r="AY7" s="48"/>
      <c r="AZ7" s="57">
        <v>0</v>
      </c>
      <c r="BA7" s="57"/>
      <c r="BB7" s="48"/>
      <c r="BC7" s="48"/>
      <c r="BD7" s="48"/>
      <c r="BE7" s="57">
        <v>0</v>
      </c>
      <c r="BF7" s="57"/>
      <c r="BG7" s="48"/>
      <c r="BH7" s="48"/>
      <c r="BI7" s="48"/>
      <c r="BJ7" s="57">
        <v>0</v>
      </c>
      <c r="BK7" s="57"/>
      <c r="BL7" s="48"/>
      <c r="BM7" s="48"/>
      <c r="BN7" s="48"/>
      <c r="BO7" s="57">
        <v>0</v>
      </c>
      <c r="BP7" s="57"/>
      <c r="BQ7" s="48"/>
      <c r="BR7" s="48"/>
      <c r="BS7" s="48"/>
      <c r="BT7" s="57">
        <v>0</v>
      </c>
      <c r="BU7" s="57"/>
      <c r="BV7" s="48"/>
      <c r="BW7" s="48"/>
      <c r="BX7" s="48"/>
      <c r="BY7" s="57">
        <v>0</v>
      </c>
      <c r="BZ7" s="57"/>
      <c r="CA7" s="48"/>
      <c r="CB7" s="48"/>
      <c r="CC7" s="48"/>
      <c r="CD7" s="57">
        <v>0</v>
      </c>
      <c r="CE7" s="57"/>
      <c r="CF7" s="48"/>
      <c r="CG7" s="48"/>
      <c r="CH7" s="48"/>
      <c r="CI7" s="57">
        <v>0</v>
      </c>
      <c r="CJ7" s="57"/>
      <c r="CK7" s="48"/>
      <c r="CL7" s="48"/>
      <c r="CM7" s="48"/>
      <c r="CN7" s="57">
        <v>0</v>
      </c>
      <c r="CO7" s="57"/>
    </row>
    <row r="8" spans="3:93" x14ac:dyDescent="0.75">
      <c r="C8" s="48" t="s">
        <v>79</v>
      </c>
      <c r="D8" s="48"/>
      <c r="E8" s="48"/>
      <c r="F8" s="48"/>
      <c r="G8" s="57">
        <v>0</v>
      </c>
      <c r="H8" s="57"/>
      <c r="I8" s="48"/>
      <c r="J8" s="48"/>
      <c r="K8" s="48"/>
      <c r="L8" s="57">
        <v>0</v>
      </c>
      <c r="M8" s="57"/>
      <c r="N8" s="48"/>
      <c r="O8" s="48"/>
      <c r="P8" s="48"/>
      <c r="Q8" s="57">
        <v>0</v>
      </c>
      <c r="R8" s="57"/>
      <c r="S8" s="48"/>
      <c r="T8" s="48"/>
      <c r="U8" s="48"/>
      <c r="V8" s="57">
        <v>0</v>
      </c>
      <c r="W8" s="57"/>
      <c r="X8" s="48"/>
      <c r="Y8" s="48"/>
      <c r="Z8" s="48"/>
      <c r="AA8" s="57">
        <v>0</v>
      </c>
      <c r="AB8" s="57"/>
      <c r="AC8" s="48"/>
      <c r="AD8" s="48"/>
      <c r="AE8" s="48"/>
      <c r="AF8" s="57">
        <v>0</v>
      </c>
      <c r="AG8" s="57"/>
      <c r="AH8" s="48" t="s">
        <v>24</v>
      </c>
      <c r="AI8" s="48"/>
      <c r="AJ8" s="48"/>
      <c r="AK8" s="57">
        <v>0</v>
      </c>
      <c r="AL8" s="57"/>
      <c r="AM8" s="48" t="s">
        <v>24</v>
      </c>
      <c r="AN8" s="48"/>
      <c r="AO8" s="48"/>
      <c r="AP8" s="57">
        <v>0</v>
      </c>
      <c r="AQ8" s="57"/>
      <c r="AR8" s="48"/>
      <c r="AS8" s="48"/>
      <c r="AT8" s="48"/>
      <c r="AU8" s="57">
        <v>0</v>
      </c>
      <c r="AV8" s="57"/>
      <c r="AW8" s="48"/>
      <c r="AX8" s="48"/>
      <c r="AY8" s="48"/>
      <c r="AZ8" s="57"/>
      <c r="BA8" s="57"/>
      <c r="BB8" s="48"/>
      <c r="BC8" s="48"/>
      <c r="BD8" s="48"/>
      <c r="BE8" s="57">
        <v>0</v>
      </c>
      <c r="BF8" s="57"/>
      <c r="BG8" s="48"/>
      <c r="BH8" s="48"/>
      <c r="BI8" s="48"/>
      <c r="BJ8" s="57">
        <v>0</v>
      </c>
      <c r="BK8" s="57"/>
      <c r="BL8" s="48"/>
      <c r="BM8" s="48"/>
      <c r="BN8" s="48"/>
      <c r="BO8" s="57">
        <v>0</v>
      </c>
      <c r="BP8" s="57"/>
      <c r="BQ8" s="48"/>
      <c r="BR8" s="48"/>
      <c r="BS8" s="48"/>
      <c r="BT8" s="57">
        <v>0</v>
      </c>
      <c r="BU8" s="57"/>
      <c r="BV8" s="48"/>
      <c r="BW8" s="48"/>
      <c r="BX8" s="48"/>
      <c r="BY8" s="57">
        <v>0</v>
      </c>
      <c r="BZ8" s="57"/>
      <c r="CA8" s="48"/>
      <c r="CB8" s="48"/>
      <c r="CC8" s="48"/>
      <c r="CD8" s="57">
        <v>0</v>
      </c>
      <c r="CE8" s="57"/>
      <c r="CF8" s="48"/>
      <c r="CG8" s="48"/>
      <c r="CH8" s="48"/>
      <c r="CI8" s="57">
        <v>0</v>
      </c>
      <c r="CJ8" s="57"/>
      <c r="CK8" s="48"/>
      <c r="CL8" s="48"/>
      <c r="CM8" s="48"/>
      <c r="CN8" s="57">
        <v>0</v>
      </c>
      <c r="CO8" s="57"/>
    </row>
    <row r="9" spans="3:93" x14ac:dyDescent="0.75">
      <c r="C9" s="49" t="s">
        <v>74</v>
      </c>
      <c r="D9" s="56">
        <v>31</v>
      </c>
      <c r="E9" s="56">
        <v>1</v>
      </c>
      <c r="F9" s="56">
        <f t="shared" ref="F9:F20" si="0">IF(F$21,1,0)</f>
        <v>0</v>
      </c>
      <c r="G9" s="50">
        <f>IF(E9=1,G$6*D9*G$7*F9,G$6*D9*G$8*F9)</f>
        <v>0</v>
      </c>
      <c r="H9" s="50">
        <f>IF(E9=1,2%*D9*G$7*F9,2%*D9*G$8*F9)</f>
        <v>0</v>
      </c>
      <c r="I9" s="56">
        <v>31</v>
      </c>
      <c r="J9" s="56">
        <v>1</v>
      </c>
      <c r="K9" s="56">
        <f t="shared" ref="K9:K20" si="1">IF(K$21,1,0)</f>
        <v>0</v>
      </c>
      <c r="L9" s="50">
        <f>IF(J9=1,L$6*I9*L$7*K9,L$6*I9*L$8*K9)</f>
        <v>0</v>
      </c>
      <c r="M9" s="50">
        <f>IF(J9=1,2%*I9*L$7*K9,2%*I9*L$8*K9)</f>
        <v>0</v>
      </c>
      <c r="N9" s="56">
        <v>31</v>
      </c>
      <c r="O9" s="56">
        <v>1</v>
      </c>
      <c r="P9" s="56">
        <f t="shared" ref="P9:P20" si="2">IF(P$21,1,0)</f>
        <v>0</v>
      </c>
      <c r="Q9" s="50">
        <f>IF(O9=1,Q$6*N9*Q$7*P9,Q$6*N9*Q$8*P9)</f>
        <v>0</v>
      </c>
      <c r="R9" s="50">
        <f>IF(O9=1,2%*N9*Q$7*P9,2%*N9*Q$8*P9)</f>
        <v>0</v>
      </c>
      <c r="S9" s="56">
        <v>31</v>
      </c>
      <c r="T9" s="56">
        <v>1</v>
      </c>
      <c r="U9" s="56">
        <f t="shared" ref="U9:U20" si="3">IF(U$21,1,0)</f>
        <v>0</v>
      </c>
      <c r="V9" s="50">
        <f>IF(T9=1,V$6*S9*V$7*U9,V$6*S9*V$8*U9)</f>
        <v>0</v>
      </c>
      <c r="W9" s="50">
        <f>IF(T9=1,2%*S9*V$7*U9,2%*S9*V$8*U9)</f>
        <v>0</v>
      </c>
      <c r="X9" s="56">
        <v>31</v>
      </c>
      <c r="Y9" s="56">
        <v>1</v>
      </c>
      <c r="Z9" s="56">
        <f t="shared" ref="Z9:Z20" si="4">IF(Z$21,1,0)</f>
        <v>0</v>
      </c>
      <c r="AA9" s="50">
        <f>IF(Y9=1,AA$6*X9*AA$7*Z9,AA$6*X9*AA$8*Z9)</f>
        <v>0</v>
      </c>
      <c r="AB9" s="50">
        <f>IF(Y9=1,2%*X9*AA$7*Z9,2%*X9*AA$8*Z9)</f>
        <v>0</v>
      </c>
      <c r="AC9" s="56">
        <v>31</v>
      </c>
      <c r="AD9" s="56">
        <v>1</v>
      </c>
      <c r="AE9" s="56">
        <f t="shared" ref="AE9:AE20" si="5">IF(AE$21,1,0)</f>
        <v>0</v>
      </c>
      <c r="AF9" s="50">
        <f t="shared" ref="AF9:AF20" si="6">IF(AD9=1,AF$6*AC9*AF$7*AE9,AF$6*AC9*AF$8*AE9)</f>
        <v>0</v>
      </c>
      <c r="AG9" s="50">
        <f>IF(AD9=1,2%*AC9*AF$7*AE9,2%*AC9*AF$8*AE9)</f>
        <v>0</v>
      </c>
      <c r="AH9" s="56">
        <v>31</v>
      </c>
      <c r="AI9" s="56">
        <v>1</v>
      </c>
      <c r="AJ9" s="56">
        <f t="shared" ref="AJ9:AJ20" si="7">IF(AJ$21,1,0)</f>
        <v>0</v>
      </c>
      <c r="AK9" s="50">
        <f>IF(AI9=1,AK$6*AH9*AK$7*AJ9,AK$6*AH9*AK$8*AJ9)</f>
        <v>0</v>
      </c>
      <c r="AL9" s="50">
        <f>IF(AI9=1,2%*AH9*AK$7*AJ9,2%*AH9*AK$8*AJ9)</f>
        <v>0</v>
      </c>
      <c r="AM9" s="56">
        <v>31</v>
      </c>
      <c r="AN9" s="56">
        <v>1</v>
      </c>
      <c r="AO9" s="56">
        <f t="shared" ref="AO9:AO20" si="8">IF(AO$21,1,0)</f>
        <v>0</v>
      </c>
      <c r="AP9" s="50">
        <f>IF(AN9=1,AP$6*AM9*AP$7*AO9,AP$6*AM9*AP$8*AO9)</f>
        <v>0</v>
      </c>
      <c r="AQ9" s="50">
        <f>IF(AN9=1,2%*AM9*AP$7*AO9,2%*AM9*AP$8*AO9)</f>
        <v>0</v>
      </c>
      <c r="AR9" s="56">
        <v>31</v>
      </c>
      <c r="AS9" s="56">
        <v>1</v>
      </c>
      <c r="AT9" s="56">
        <f t="shared" ref="AT9:AT20" si="9">IF(AT$21,1,0)</f>
        <v>0</v>
      </c>
      <c r="AU9" s="50">
        <f>IF(AS9=1,AU$6*AR9*AU$7*AT9,AU$6*AR9*AU$8*AT9)</f>
        <v>0</v>
      </c>
      <c r="AV9" s="50">
        <f>IF(AS9=1,2%*AR9*AU$7*AT9,2%*AR9*AU$8*AT9)</f>
        <v>0</v>
      </c>
      <c r="AW9" s="56">
        <v>31</v>
      </c>
      <c r="AX9" s="56">
        <v>1</v>
      </c>
      <c r="AY9" s="56">
        <f t="shared" ref="AY9:AY20" si="10">IF(AY$21,1,0)</f>
        <v>0</v>
      </c>
      <c r="AZ9" s="50">
        <f>IF(AX9=1,AZ$6*AW9*AZ$7*AY9,AZ$6*AW9*AZ$8*AY9)</f>
        <v>0</v>
      </c>
      <c r="BA9" s="50">
        <f>IF(AX9=1,2%*AW9*AZ$7*AY9,2%*AW9*AZ$8*AY9)</f>
        <v>0</v>
      </c>
      <c r="BB9" s="56">
        <v>31</v>
      </c>
      <c r="BC9" s="56">
        <v>1</v>
      </c>
      <c r="BD9" s="56">
        <f t="shared" ref="BD9:BD20" si="11">IF(BD$21,1,0)</f>
        <v>0</v>
      </c>
      <c r="BE9" s="50">
        <f>IF(BC9=1,BE$6*BB9*BE$7*BD9,BE$6*BB9*BE$8*BD9)</f>
        <v>0</v>
      </c>
      <c r="BF9" s="50">
        <f>IF(BC9=1,2%*BB9*BE$7*BD9,2%*BB9*BE$8*BD9)</f>
        <v>0</v>
      </c>
      <c r="BG9" s="56">
        <v>31</v>
      </c>
      <c r="BH9" s="56">
        <v>1</v>
      </c>
      <c r="BI9" s="56">
        <f t="shared" ref="BI9:BI20" si="12">IF(BI$21,1,0)</f>
        <v>0</v>
      </c>
      <c r="BJ9" s="50">
        <f>IF(BH9=1,BJ$6*BG9*BJ$7*BI9,BJ$6*BG9*BJ$8*BI9)</f>
        <v>0</v>
      </c>
      <c r="BK9" s="50">
        <f>IF(BH9=1,2%*BG9*BJ$7*BI9,2%*BG9*BJ$8*BI9)</f>
        <v>0</v>
      </c>
      <c r="BL9" s="56">
        <v>31</v>
      </c>
      <c r="BM9" s="56">
        <v>1</v>
      </c>
      <c r="BN9" s="56">
        <f t="shared" ref="BN9:BN20" si="13">IF(BN$21,1,0)</f>
        <v>0</v>
      </c>
      <c r="BO9" s="50">
        <f>IF(BM9=1,BO$6*BL9*BO$7*BN9,BO$6*BL9*BO$8*BN9)</f>
        <v>0</v>
      </c>
      <c r="BP9" s="50">
        <f>IF(BM9=1,2%*BL9*BO$7*BN9,2%*BL9*BO$8*BN9)</f>
        <v>0</v>
      </c>
      <c r="BQ9" s="56">
        <v>31</v>
      </c>
      <c r="BR9" s="56">
        <v>1</v>
      </c>
      <c r="BS9" s="56">
        <f t="shared" ref="BS9:BS20" si="14">IF(BS$21,1,0)</f>
        <v>0</v>
      </c>
      <c r="BT9" s="50">
        <f>IF(BR9=1,BT$6*BQ9*BT$7*BS9,BT$6*BQ9*BT$8*BS9)</f>
        <v>0</v>
      </c>
      <c r="BU9" s="50">
        <f>IF(BR9=1,2%*BQ9*BT$7*BS9,2%*BQ9*BT$8*BS9)</f>
        <v>0</v>
      </c>
      <c r="BV9" s="56">
        <v>31</v>
      </c>
      <c r="BW9" s="56">
        <v>1</v>
      </c>
      <c r="BX9" s="56">
        <f t="shared" ref="BX9:BX20" si="15">IF(BX$21,1,0)</f>
        <v>0</v>
      </c>
      <c r="BY9" s="50">
        <f>IF(BW9=1,BY$6*BV9*BY$7*BX9,BY$6*BV9*BY$8*BX9)</f>
        <v>0</v>
      </c>
      <c r="BZ9" s="50">
        <f>IF(BW9=1,2%*BV9*BY$7*BX9,2%*BV9*BY$8*BX9)</f>
        <v>0</v>
      </c>
      <c r="CA9" s="56">
        <v>31</v>
      </c>
      <c r="CB9" s="56">
        <v>1</v>
      </c>
      <c r="CC9" s="56">
        <f t="shared" ref="CC9:CC20" si="16">IF(CC$21,1,0)</f>
        <v>0</v>
      </c>
      <c r="CD9" s="50">
        <f>IF(CB9=1,CD$6*CA9*CD$7*CC9,CD$6*CA9*CD$8*CC9)</f>
        <v>0</v>
      </c>
      <c r="CE9" s="50">
        <f>IF(CB9=1,2%*CA9*CD$7*CC9,2%*CA9*CD$8*CC9)</f>
        <v>0</v>
      </c>
      <c r="CF9" s="56">
        <v>31</v>
      </c>
      <c r="CG9" s="56">
        <v>1</v>
      </c>
      <c r="CH9" s="56">
        <f t="shared" ref="CH9:CH20" si="17">IF(CH$21,1,0)</f>
        <v>0</v>
      </c>
      <c r="CI9" s="50">
        <f>IF(CG9=1,CI$6*CF9*CI$7*CH9,CI$6*CF9*CI$8*CH9)</f>
        <v>0</v>
      </c>
      <c r="CJ9" s="50">
        <f>IF(CG9=1,2%*CF9*CI$7*CH9,2%*CF9*CI$8*CH9)</f>
        <v>0</v>
      </c>
      <c r="CK9" s="56">
        <v>31</v>
      </c>
      <c r="CL9" s="56">
        <v>1</v>
      </c>
      <c r="CM9" s="56">
        <f t="shared" ref="CM9:CM20" si="18">IF(CM$21,1,0)</f>
        <v>0</v>
      </c>
      <c r="CN9" s="50">
        <f>IF(CL9=1,CN$6*CK9*CN$7*CM9,CN$6*CK9*CN$8*CM9)</f>
        <v>0</v>
      </c>
      <c r="CO9" s="50">
        <f>IF(CL9=1,2%*CK9*CN$7*CM9,2%*CK9*CN$8*CM9)</f>
        <v>0</v>
      </c>
    </row>
    <row r="10" spans="3:93" x14ac:dyDescent="0.75">
      <c r="C10" s="49" t="s">
        <v>67</v>
      </c>
      <c r="D10" s="56">
        <v>28</v>
      </c>
      <c r="E10" s="56">
        <v>1</v>
      </c>
      <c r="F10" s="56">
        <f t="shared" si="0"/>
        <v>0</v>
      </c>
      <c r="G10" s="50">
        <f t="shared" ref="G10:G20" si="19">IF(E10=1,G$6*D10*G$7*F10,G$6*D10*G$8*F10)</f>
        <v>0</v>
      </c>
      <c r="H10" s="50">
        <f t="shared" ref="H10:H20" si="20">IF(E10=1,2%*D10*G$7*F10,2%*D10*G$8*F10)</f>
        <v>0</v>
      </c>
      <c r="I10" s="56">
        <v>28</v>
      </c>
      <c r="J10" s="56">
        <v>1</v>
      </c>
      <c r="K10" s="56">
        <f t="shared" si="1"/>
        <v>0</v>
      </c>
      <c r="L10" s="50">
        <f t="shared" ref="L10:L20" si="21">IF(J10=1,L$6*I10*L$7*K10,L$6*I10*L$8*K10)</f>
        <v>0</v>
      </c>
      <c r="M10" s="50">
        <f t="shared" ref="M10:M20" si="22">IF(J10=1,2%*I10*L$7*K10,2%*I10*L$8*K10)</f>
        <v>0</v>
      </c>
      <c r="N10" s="56">
        <v>29</v>
      </c>
      <c r="O10" s="56">
        <v>1</v>
      </c>
      <c r="P10" s="56">
        <f t="shared" si="2"/>
        <v>0</v>
      </c>
      <c r="Q10" s="50">
        <f t="shared" ref="Q10:Q20" si="23">IF(O10=1,Q$6*N10*Q$7*P10,Q$6*N10*Q$8*P10)</f>
        <v>0</v>
      </c>
      <c r="R10" s="50">
        <f t="shared" ref="R10:R20" si="24">IF(O10=1,2%*N10*Q$7*P10,2%*N10*Q$8*P10)</f>
        <v>0</v>
      </c>
      <c r="S10" s="56">
        <v>28</v>
      </c>
      <c r="T10" s="56">
        <v>1</v>
      </c>
      <c r="U10" s="56">
        <f t="shared" si="3"/>
        <v>0</v>
      </c>
      <c r="V10" s="50">
        <f t="shared" ref="V10:V20" si="25">IF(T10=1,V$6*S10*V$7*U10,V$6*S10*V$8*U10)</f>
        <v>0</v>
      </c>
      <c r="W10" s="50">
        <f t="shared" ref="W10:W20" si="26">IF(T10=1,2%*S10*V$7*U10,2%*S10*V$8*U10)</f>
        <v>0</v>
      </c>
      <c r="X10" s="56">
        <v>28</v>
      </c>
      <c r="Y10" s="56">
        <v>1</v>
      </c>
      <c r="Z10" s="56">
        <f t="shared" si="4"/>
        <v>0</v>
      </c>
      <c r="AA10" s="50">
        <f t="shared" ref="AA10:AA20" si="27">IF(Y10=1,AA$6*X10*AA$7*Z10,AA$6*X10*AA$8*Z10)</f>
        <v>0</v>
      </c>
      <c r="AB10" s="50">
        <f t="shared" ref="AB10:AB20" si="28">IF(Y10=1,2%*X10*AA$7*Z10,2%*X10*AA$8*Z10)</f>
        <v>0</v>
      </c>
      <c r="AC10" s="56">
        <v>28</v>
      </c>
      <c r="AD10" s="56">
        <v>1</v>
      </c>
      <c r="AE10" s="56">
        <f t="shared" si="5"/>
        <v>0</v>
      </c>
      <c r="AF10" s="50">
        <f t="shared" si="6"/>
        <v>0</v>
      </c>
      <c r="AG10" s="50">
        <f t="shared" ref="AG10:AG20" si="29">IF(AD10=1,2%*AC10*AF$7*AE10,2%*AC10*AF$8*AE10)</f>
        <v>0</v>
      </c>
      <c r="AH10" s="56">
        <v>29</v>
      </c>
      <c r="AI10" s="56">
        <v>1</v>
      </c>
      <c r="AJ10" s="56">
        <f t="shared" si="7"/>
        <v>0</v>
      </c>
      <c r="AK10" s="50">
        <f t="shared" ref="AK10:AK20" si="30">IF(AI10=1,AK$6*AH10*AK$7*AJ10,AK$6*AH10*AK$8*AJ10)</f>
        <v>0</v>
      </c>
      <c r="AL10" s="50">
        <f t="shared" ref="AL10:AL20" si="31">IF(AI10=1,2%*AH10*AK$7*AJ10,2%*AH10*AK$8*AJ10)</f>
        <v>0</v>
      </c>
      <c r="AM10" s="56">
        <v>28</v>
      </c>
      <c r="AN10" s="56">
        <v>1</v>
      </c>
      <c r="AO10" s="56">
        <f t="shared" si="8"/>
        <v>0</v>
      </c>
      <c r="AP10" s="50">
        <f t="shared" ref="AP10:AP20" si="32">IF(AN10=1,AP$6*AM10*AP$7*AO10,AP$6*AM10*AP$8*AO10)</f>
        <v>0</v>
      </c>
      <c r="AQ10" s="50">
        <f t="shared" ref="AQ10:AQ20" si="33">IF(AN10=1,2%*AM10*AP$7*AO10,2%*AM10*AP$8*AO10)</f>
        <v>0</v>
      </c>
      <c r="AR10" s="56">
        <v>28</v>
      </c>
      <c r="AS10" s="56">
        <v>1</v>
      </c>
      <c r="AT10" s="56">
        <f t="shared" si="9"/>
        <v>0</v>
      </c>
      <c r="AU10" s="50">
        <f t="shared" ref="AU10:AU20" si="34">IF(AS10=1,AU$6*AR10*AU$7*AT10,AU$6*AR10*AU$8*AT10)</f>
        <v>0</v>
      </c>
      <c r="AV10" s="50">
        <f t="shared" ref="AV10:AV20" si="35">IF(AS10=1,2%*AR10*AU$7*AT10,2%*AR10*AU$8*AT10)</f>
        <v>0</v>
      </c>
      <c r="AW10" s="56">
        <v>28</v>
      </c>
      <c r="AX10" s="56">
        <v>1</v>
      </c>
      <c r="AY10" s="56">
        <f t="shared" si="10"/>
        <v>0</v>
      </c>
      <c r="AZ10" s="50">
        <f t="shared" ref="AZ10:AZ20" si="36">IF(AX10=1,AZ$6*AW10*AZ$7*AY10,AZ$6*AW10*AZ$8*AY10)</f>
        <v>0</v>
      </c>
      <c r="BA10" s="50">
        <f t="shared" ref="BA10:BA20" si="37">IF(AX10=1,2%*AW10*AZ$7*AY10,2%*AW10*AZ$8*AY10)</f>
        <v>0</v>
      </c>
      <c r="BB10" s="56">
        <v>29</v>
      </c>
      <c r="BC10" s="56">
        <v>1</v>
      </c>
      <c r="BD10" s="56">
        <f t="shared" si="11"/>
        <v>0</v>
      </c>
      <c r="BE10" s="50">
        <f t="shared" ref="BE10:BE20" si="38">IF(BC10=1,BE$6*BB10*BE$7*BD10,BE$6*BB10*BE$8*BD10)</f>
        <v>0</v>
      </c>
      <c r="BF10" s="50">
        <f t="shared" ref="BF10:BF20" si="39">IF(BC10=1,2%*BB10*BE$7*BD10,2%*BB10*BE$8*BD10)</f>
        <v>0</v>
      </c>
      <c r="BG10" s="56">
        <v>28</v>
      </c>
      <c r="BH10" s="56">
        <v>1</v>
      </c>
      <c r="BI10" s="56">
        <f t="shared" si="12"/>
        <v>0</v>
      </c>
      <c r="BJ10" s="50">
        <f t="shared" ref="BJ10:BJ20" si="40">IF(BH10=1,BJ$6*BG10*BJ$7*BI10,BJ$6*BG10*BJ$8*BI10)</f>
        <v>0</v>
      </c>
      <c r="BK10" s="50">
        <f t="shared" ref="BK10:BK20" si="41">IF(BH10=1,2%*BG10*BJ$7*BI10,2%*BG10*BJ$8*BI10)</f>
        <v>0</v>
      </c>
      <c r="BL10" s="56">
        <v>28</v>
      </c>
      <c r="BM10" s="56">
        <v>1</v>
      </c>
      <c r="BN10" s="56">
        <f t="shared" si="13"/>
        <v>0</v>
      </c>
      <c r="BO10" s="50">
        <f t="shared" ref="BO10:BO20" si="42">IF(BM10=1,BO$6*BL10*BO$7*BN10,BO$6*BL10*BO$8*BN10)</f>
        <v>0</v>
      </c>
      <c r="BP10" s="50">
        <f t="shared" ref="BP10:BP20" si="43">IF(BM10=1,2%*BL10*BO$7*BN10,2%*BL10*BO$8*BN10)</f>
        <v>0</v>
      </c>
      <c r="BQ10" s="56">
        <v>28</v>
      </c>
      <c r="BR10" s="56">
        <v>1</v>
      </c>
      <c r="BS10" s="56">
        <f t="shared" si="14"/>
        <v>0</v>
      </c>
      <c r="BT10" s="50">
        <f t="shared" ref="BT10:BT20" si="44">IF(BR10=1,BT$6*BQ10*BT$7*BS10,BT$6*BQ10*BT$8*BS10)</f>
        <v>0</v>
      </c>
      <c r="BU10" s="50">
        <f t="shared" ref="BU10:BU20" si="45">IF(BR10=1,2%*BQ10*BT$7*BS10,2%*BQ10*BT$8*BS10)</f>
        <v>0</v>
      </c>
      <c r="BV10" s="56">
        <v>28</v>
      </c>
      <c r="BW10" s="56">
        <v>1</v>
      </c>
      <c r="BX10" s="56">
        <f t="shared" si="15"/>
        <v>0</v>
      </c>
      <c r="BY10" s="50">
        <f t="shared" ref="BY10:BY20" si="46">IF(BW10=1,BY$6*BV10*BY$7*BX10,BY$6*BV10*BY$8*BX10)</f>
        <v>0</v>
      </c>
      <c r="BZ10" s="50">
        <f t="shared" ref="BZ10:BZ20" si="47">IF(BW10=1,2%*BV10*BY$7*BX10,2%*BV10*BY$8*BX10)</f>
        <v>0</v>
      </c>
      <c r="CA10" s="56">
        <v>28</v>
      </c>
      <c r="CB10" s="56">
        <v>1</v>
      </c>
      <c r="CC10" s="56">
        <f t="shared" si="16"/>
        <v>0</v>
      </c>
      <c r="CD10" s="50">
        <f t="shared" ref="CD10:CD20" si="48">IF(CB10=1,CD$6*CA10*CD$7*CC10,CD$6*CA10*CD$8*CC10)</f>
        <v>0</v>
      </c>
      <c r="CE10" s="50">
        <f t="shared" ref="CE10:CE20" si="49">IF(CB10=1,2%*CA10*CD$7*CC10,2%*CA10*CD$8*CC10)</f>
        <v>0</v>
      </c>
      <c r="CF10" s="56">
        <v>28</v>
      </c>
      <c r="CG10" s="56">
        <v>1</v>
      </c>
      <c r="CH10" s="56">
        <f t="shared" si="17"/>
        <v>0</v>
      </c>
      <c r="CI10" s="50">
        <f t="shared" ref="CI10:CI20" si="50">IF(CG10=1,CI$6*CF10*CI$7*CH10,CI$6*CF10*CI$8*CH10)</f>
        <v>0</v>
      </c>
      <c r="CJ10" s="50">
        <f t="shared" ref="CJ10:CJ20" si="51">IF(CG10=1,2%*CF10*CI$7*CH10,2%*CF10*CI$8*CH10)</f>
        <v>0</v>
      </c>
      <c r="CK10" s="56">
        <v>28</v>
      </c>
      <c r="CL10" s="56">
        <v>1</v>
      </c>
      <c r="CM10" s="56">
        <f t="shared" si="18"/>
        <v>0</v>
      </c>
      <c r="CN10" s="50">
        <f t="shared" ref="CN10:CN20" si="52">IF(CL10=1,CN$6*CK10*CN$7*CM10,CN$6*CK10*CN$8*CM10)</f>
        <v>0</v>
      </c>
      <c r="CO10" s="50">
        <f t="shared" ref="CO10:CO20" si="53">IF(CL10=1,2%*CK10*CN$7*CM10,2%*CK10*CN$8*CM10)</f>
        <v>0</v>
      </c>
    </row>
    <row r="11" spans="3:93" x14ac:dyDescent="0.75">
      <c r="C11" s="49" t="s">
        <v>68</v>
      </c>
      <c r="D11" s="56">
        <v>31</v>
      </c>
      <c r="E11" s="56">
        <v>1</v>
      </c>
      <c r="F11" s="56">
        <f t="shared" si="0"/>
        <v>0</v>
      </c>
      <c r="G11" s="50">
        <f t="shared" si="19"/>
        <v>0</v>
      </c>
      <c r="H11" s="50">
        <f t="shared" si="20"/>
        <v>0</v>
      </c>
      <c r="I11" s="56">
        <v>31</v>
      </c>
      <c r="J11" s="56">
        <v>1</v>
      </c>
      <c r="K11" s="56">
        <f t="shared" si="1"/>
        <v>0</v>
      </c>
      <c r="L11" s="50">
        <f t="shared" si="21"/>
        <v>0</v>
      </c>
      <c r="M11" s="50">
        <f t="shared" si="22"/>
        <v>0</v>
      </c>
      <c r="N11" s="56">
        <v>31</v>
      </c>
      <c r="O11" s="56">
        <v>1</v>
      </c>
      <c r="P11" s="56">
        <f t="shared" si="2"/>
        <v>0</v>
      </c>
      <c r="Q11" s="50">
        <f t="shared" si="23"/>
        <v>0</v>
      </c>
      <c r="R11" s="50">
        <f t="shared" si="24"/>
        <v>0</v>
      </c>
      <c r="S11" s="56">
        <v>31</v>
      </c>
      <c r="T11" s="56">
        <v>1</v>
      </c>
      <c r="U11" s="56">
        <f t="shared" si="3"/>
        <v>0</v>
      </c>
      <c r="V11" s="50">
        <f t="shared" si="25"/>
        <v>0</v>
      </c>
      <c r="W11" s="50">
        <f t="shared" si="26"/>
        <v>0</v>
      </c>
      <c r="X11" s="56">
        <v>31</v>
      </c>
      <c r="Y11" s="56">
        <v>1</v>
      </c>
      <c r="Z11" s="56">
        <f t="shared" si="4"/>
        <v>0</v>
      </c>
      <c r="AA11" s="50">
        <f t="shared" si="27"/>
        <v>0</v>
      </c>
      <c r="AB11" s="50">
        <f t="shared" si="28"/>
        <v>0</v>
      </c>
      <c r="AC11" s="56">
        <v>31</v>
      </c>
      <c r="AD11" s="56">
        <v>1</v>
      </c>
      <c r="AE11" s="56">
        <f t="shared" si="5"/>
        <v>0</v>
      </c>
      <c r="AF11" s="50">
        <f t="shared" si="6"/>
        <v>0</v>
      </c>
      <c r="AG11" s="50">
        <f t="shared" si="29"/>
        <v>0</v>
      </c>
      <c r="AH11" s="56">
        <v>31</v>
      </c>
      <c r="AI11" s="56">
        <v>1</v>
      </c>
      <c r="AJ11" s="56">
        <f t="shared" si="7"/>
        <v>0</v>
      </c>
      <c r="AK11" s="50">
        <f t="shared" si="30"/>
        <v>0</v>
      </c>
      <c r="AL11" s="50">
        <f t="shared" si="31"/>
        <v>0</v>
      </c>
      <c r="AM11" s="56">
        <v>31</v>
      </c>
      <c r="AN11" s="56">
        <v>1</v>
      </c>
      <c r="AO11" s="56">
        <f t="shared" si="8"/>
        <v>0</v>
      </c>
      <c r="AP11" s="50">
        <f t="shared" si="32"/>
        <v>0</v>
      </c>
      <c r="AQ11" s="50">
        <f t="shared" si="33"/>
        <v>0</v>
      </c>
      <c r="AR11" s="56">
        <v>31</v>
      </c>
      <c r="AS11" s="56">
        <v>1</v>
      </c>
      <c r="AT11" s="56">
        <f t="shared" si="9"/>
        <v>0</v>
      </c>
      <c r="AU11" s="50">
        <f t="shared" si="34"/>
        <v>0</v>
      </c>
      <c r="AV11" s="50">
        <f t="shared" si="35"/>
        <v>0</v>
      </c>
      <c r="AW11" s="56">
        <v>31</v>
      </c>
      <c r="AX11" s="56">
        <v>1</v>
      </c>
      <c r="AY11" s="56">
        <f t="shared" si="10"/>
        <v>0</v>
      </c>
      <c r="AZ11" s="50">
        <f t="shared" si="36"/>
        <v>0</v>
      </c>
      <c r="BA11" s="50">
        <f t="shared" si="37"/>
        <v>0</v>
      </c>
      <c r="BB11" s="56">
        <v>31</v>
      </c>
      <c r="BC11" s="56">
        <v>1</v>
      </c>
      <c r="BD11" s="56">
        <f t="shared" si="11"/>
        <v>0</v>
      </c>
      <c r="BE11" s="50">
        <f t="shared" si="38"/>
        <v>0</v>
      </c>
      <c r="BF11" s="50">
        <f t="shared" si="39"/>
        <v>0</v>
      </c>
      <c r="BG11" s="56">
        <v>31</v>
      </c>
      <c r="BH11" s="56">
        <v>1</v>
      </c>
      <c r="BI11" s="56">
        <f t="shared" si="12"/>
        <v>0</v>
      </c>
      <c r="BJ11" s="50">
        <f t="shared" si="40"/>
        <v>0</v>
      </c>
      <c r="BK11" s="50">
        <f t="shared" si="41"/>
        <v>0</v>
      </c>
      <c r="BL11" s="56">
        <v>31</v>
      </c>
      <c r="BM11" s="56">
        <v>1</v>
      </c>
      <c r="BN11" s="56">
        <f t="shared" si="13"/>
        <v>0</v>
      </c>
      <c r="BO11" s="50">
        <f t="shared" si="42"/>
        <v>0</v>
      </c>
      <c r="BP11" s="50">
        <f t="shared" si="43"/>
        <v>0</v>
      </c>
      <c r="BQ11" s="56">
        <v>31</v>
      </c>
      <c r="BR11" s="56">
        <v>1</v>
      </c>
      <c r="BS11" s="56">
        <f t="shared" si="14"/>
        <v>0</v>
      </c>
      <c r="BT11" s="50">
        <f t="shared" si="44"/>
        <v>0</v>
      </c>
      <c r="BU11" s="50">
        <f t="shared" si="45"/>
        <v>0</v>
      </c>
      <c r="BV11" s="56">
        <v>31</v>
      </c>
      <c r="BW11" s="56">
        <v>1</v>
      </c>
      <c r="BX11" s="56">
        <f t="shared" si="15"/>
        <v>0</v>
      </c>
      <c r="BY11" s="50">
        <f t="shared" si="46"/>
        <v>0</v>
      </c>
      <c r="BZ11" s="50">
        <f t="shared" si="47"/>
        <v>0</v>
      </c>
      <c r="CA11" s="56">
        <v>31</v>
      </c>
      <c r="CB11" s="56">
        <v>1</v>
      </c>
      <c r="CC11" s="56">
        <f t="shared" si="16"/>
        <v>0</v>
      </c>
      <c r="CD11" s="50">
        <f t="shared" si="48"/>
        <v>0</v>
      </c>
      <c r="CE11" s="50">
        <f t="shared" si="49"/>
        <v>0</v>
      </c>
      <c r="CF11" s="56">
        <v>31</v>
      </c>
      <c r="CG11" s="56">
        <v>1</v>
      </c>
      <c r="CH11" s="56">
        <f t="shared" si="17"/>
        <v>0</v>
      </c>
      <c r="CI11" s="50">
        <f t="shared" si="50"/>
        <v>0</v>
      </c>
      <c r="CJ11" s="50">
        <f t="shared" si="51"/>
        <v>0</v>
      </c>
      <c r="CK11" s="56">
        <v>31</v>
      </c>
      <c r="CL11" s="56">
        <v>1</v>
      </c>
      <c r="CM11" s="56">
        <f t="shared" si="18"/>
        <v>0</v>
      </c>
      <c r="CN11" s="50">
        <f t="shared" si="52"/>
        <v>0</v>
      </c>
      <c r="CO11" s="50">
        <f t="shared" si="53"/>
        <v>0</v>
      </c>
    </row>
    <row r="12" spans="3:93" x14ac:dyDescent="0.75">
      <c r="C12" s="49" t="s">
        <v>69</v>
      </c>
      <c r="D12" s="56">
        <v>30</v>
      </c>
      <c r="E12" s="56">
        <v>1</v>
      </c>
      <c r="F12" s="56">
        <f t="shared" si="0"/>
        <v>0</v>
      </c>
      <c r="G12" s="50">
        <f t="shared" si="19"/>
        <v>0</v>
      </c>
      <c r="H12" s="50">
        <f t="shared" si="20"/>
        <v>0</v>
      </c>
      <c r="I12" s="56">
        <v>30</v>
      </c>
      <c r="J12" s="56">
        <v>1</v>
      </c>
      <c r="K12" s="56">
        <f t="shared" si="1"/>
        <v>0</v>
      </c>
      <c r="L12" s="50">
        <f t="shared" si="21"/>
        <v>0</v>
      </c>
      <c r="M12" s="50">
        <f t="shared" si="22"/>
        <v>0</v>
      </c>
      <c r="N12" s="56">
        <v>30</v>
      </c>
      <c r="O12" s="56">
        <v>1</v>
      </c>
      <c r="P12" s="56">
        <f t="shared" si="2"/>
        <v>0</v>
      </c>
      <c r="Q12" s="50">
        <f t="shared" si="23"/>
        <v>0</v>
      </c>
      <c r="R12" s="50">
        <f t="shared" si="24"/>
        <v>0</v>
      </c>
      <c r="S12" s="56">
        <v>30</v>
      </c>
      <c r="T12" s="56">
        <v>1</v>
      </c>
      <c r="U12" s="56">
        <f t="shared" si="3"/>
        <v>0</v>
      </c>
      <c r="V12" s="50">
        <f t="shared" si="25"/>
        <v>0</v>
      </c>
      <c r="W12" s="50">
        <f t="shared" si="26"/>
        <v>0</v>
      </c>
      <c r="X12" s="56">
        <v>30</v>
      </c>
      <c r="Y12" s="56">
        <v>1</v>
      </c>
      <c r="Z12" s="56">
        <f t="shared" si="4"/>
        <v>0</v>
      </c>
      <c r="AA12" s="50">
        <f t="shared" si="27"/>
        <v>0</v>
      </c>
      <c r="AB12" s="50">
        <f t="shared" si="28"/>
        <v>0</v>
      </c>
      <c r="AC12" s="56">
        <v>30</v>
      </c>
      <c r="AD12" s="56">
        <v>1</v>
      </c>
      <c r="AE12" s="56">
        <f t="shared" si="5"/>
        <v>0</v>
      </c>
      <c r="AF12" s="50">
        <f t="shared" si="6"/>
        <v>0</v>
      </c>
      <c r="AG12" s="50">
        <f t="shared" si="29"/>
        <v>0</v>
      </c>
      <c r="AH12" s="56">
        <v>30</v>
      </c>
      <c r="AI12" s="56">
        <v>1</v>
      </c>
      <c r="AJ12" s="56">
        <f t="shared" si="7"/>
        <v>0</v>
      </c>
      <c r="AK12" s="50">
        <f t="shared" si="30"/>
        <v>0</v>
      </c>
      <c r="AL12" s="50">
        <f t="shared" si="31"/>
        <v>0</v>
      </c>
      <c r="AM12" s="56">
        <v>30</v>
      </c>
      <c r="AN12" s="56">
        <v>1</v>
      </c>
      <c r="AO12" s="56">
        <f t="shared" si="8"/>
        <v>0</v>
      </c>
      <c r="AP12" s="50">
        <f t="shared" si="32"/>
        <v>0</v>
      </c>
      <c r="AQ12" s="50">
        <f t="shared" si="33"/>
        <v>0</v>
      </c>
      <c r="AR12" s="56">
        <v>30</v>
      </c>
      <c r="AS12" s="56">
        <v>1</v>
      </c>
      <c r="AT12" s="56">
        <f t="shared" si="9"/>
        <v>0</v>
      </c>
      <c r="AU12" s="50">
        <f t="shared" si="34"/>
        <v>0</v>
      </c>
      <c r="AV12" s="50">
        <f t="shared" si="35"/>
        <v>0</v>
      </c>
      <c r="AW12" s="56">
        <v>30</v>
      </c>
      <c r="AX12" s="56">
        <v>1</v>
      </c>
      <c r="AY12" s="56">
        <f t="shared" si="10"/>
        <v>0</v>
      </c>
      <c r="AZ12" s="50">
        <f t="shared" si="36"/>
        <v>0</v>
      </c>
      <c r="BA12" s="50">
        <f t="shared" si="37"/>
        <v>0</v>
      </c>
      <c r="BB12" s="56">
        <v>30</v>
      </c>
      <c r="BC12" s="56">
        <v>1</v>
      </c>
      <c r="BD12" s="56">
        <f t="shared" si="11"/>
        <v>0</v>
      </c>
      <c r="BE12" s="50">
        <f t="shared" si="38"/>
        <v>0</v>
      </c>
      <c r="BF12" s="50">
        <f t="shared" si="39"/>
        <v>0</v>
      </c>
      <c r="BG12" s="56">
        <v>30</v>
      </c>
      <c r="BH12" s="56">
        <v>1</v>
      </c>
      <c r="BI12" s="56">
        <f t="shared" si="12"/>
        <v>0</v>
      </c>
      <c r="BJ12" s="50">
        <f t="shared" si="40"/>
        <v>0</v>
      </c>
      <c r="BK12" s="50">
        <f t="shared" si="41"/>
        <v>0</v>
      </c>
      <c r="BL12" s="56">
        <v>30</v>
      </c>
      <c r="BM12" s="56">
        <v>1</v>
      </c>
      <c r="BN12" s="56">
        <f t="shared" si="13"/>
        <v>0</v>
      </c>
      <c r="BO12" s="50">
        <f t="shared" si="42"/>
        <v>0</v>
      </c>
      <c r="BP12" s="50">
        <f t="shared" si="43"/>
        <v>0</v>
      </c>
      <c r="BQ12" s="56">
        <v>30</v>
      </c>
      <c r="BR12" s="56">
        <v>1</v>
      </c>
      <c r="BS12" s="56">
        <f t="shared" si="14"/>
        <v>0</v>
      </c>
      <c r="BT12" s="50">
        <f t="shared" si="44"/>
        <v>0</v>
      </c>
      <c r="BU12" s="50">
        <f t="shared" si="45"/>
        <v>0</v>
      </c>
      <c r="BV12" s="56">
        <v>30</v>
      </c>
      <c r="BW12" s="56">
        <v>1</v>
      </c>
      <c r="BX12" s="56">
        <f t="shared" si="15"/>
        <v>0</v>
      </c>
      <c r="BY12" s="50">
        <f t="shared" si="46"/>
        <v>0</v>
      </c>
      <c r="BZ12" s="50">
        <f t="shared" si="47"/>
        <v>0</v>
      </c>
      <c r="CA12" s="56">
        <v>30</v>
      </c>
      <c r="CB12" s="56">
        <v>1</v>
      </c>
      <c r="CC12" s="56">
        <f t="shared" si="16"/>
        <v>0</v>
      </c>
      <c r="CD12" s="50">
        <f t="shared" si="48"/>
        <v>0</v>
      </c>
      <c r="CE12" s="50">
        <f t="shared" si="49"/>
        <v>0</v>
      </c>
      <c r="CF12" s="56">
        <v>30</v>
      </c>
      <c r="CG12" s="56">
        <v>1</v>
      </c>
      <c r="CH12" s="56">
        <f t="shared" si="17"/>
        <v>0</v>
      </c>
      <c r="CI12" s="50">
        <f t="shared" si="50"/>
        <v>0</v>
      </c>
      <c r="CJ12" s="50">
        <f t="shared" si="51"/>
        <v>0</v>
      </c>
      <c r="CK12" s="56">
        <v>30</v>
      </c>
      <c r="CL12" s="56">
        <v>1</v>
      </c>
      <c r="CM12" s="56">
        <f t="shared" si="18"/>
        <v>0</v>
      </c>
      <c r="CN12" s="50">
        <f t="shared" si="52"/>
        <v>0</v>
      </c>
      <c r="CO12" s="50">
        <f t="shared" si="53"/>
        <v>0</v>
      </c>
    </row>
    <row r="13" spans="3:93" x14ac:dyDescent="0.75">
      <c r="C13" s="49" t="s">
        <v>70</v>
      </c>
      <c r="D13" s="56">
        <v>31</v>
      </c>
      <c r="E13" s="56">
        <v>1</v>
      </c>
      <c r="F13" s="56">
        <f t="shared" si="0"/>
        <v>0</v>
      </c>
      <c r="G13" s="50">
        <f t="shared" si="19"/>
        <v>0</v>
      </c>
      <c r="H13" s="50">
        <f t="shared" si="20"/>
        <v>0</v>
      </c>
      <c r="I13" s="56">
        <v>31</v>
      </c>
      <c r="J13" s="56">
        <v>1</v>
      </c>
      <c r="K13" s="56">
        <f t="shared" si="1"/>
        <v>0</v>
      </c>
      <c r="L13" s="50">
        <f t="shared" si="21"/>
        <v>0</v>
      </c>
      <c r="M13" s="50">
        <f t="shared" si="22"/>
        <v>0</v>
      </c>
      <c r="N13" s="56">
        <v>31</v>
      </c>
      <c r="O13" s="56">
        <v>1</v>
      </c>
      <c r="P13" s="56">
        <f t="shared" si="2"/>
        <v>0</v>
      </c>
      <c r="Q13" s="50">
        <f t="shared" si="23"/>
        <v>0</v>
      </c>
      <c r="R13" s="50">
        <f t="shared" si="24"/>
        <v>0</v>
      </c>
      <c r="S13" s="56">
        <v>31</v>
      </c>
      <c r="T13" s="56">
        <v>1</v>
      </c>
      <c r="U13" s="56">
        <f t="shared" si="3"/>
        <v>0</v>
      </c>
      <c r="V13" s="50">
        <f t="shared" si="25"/>
        <v>0</v>
      </c>
      <c r="W13" s="50">
        <f t="shared" si="26"/>
        <v>0</v>
      </c>
      <c r="X13" s="56">
        <v>31</v>
      </c>
      <c r="Y13" s="56">
        <v>1</v>
      </c>
      <c r="Z13" s="56">
        <f t="shared" si="4"/>
        <v>0</v>
      </c>
      <c r="AA13" s="50">
        <f t="shared" si="27"/>
        <v>0</v>
      </c>
      <c r="AB13" s="50">
        <f t="shared" si="28"/>
        <v>0</v>
      </c>
      <c r="AC13" s="56">
        <v>31</v>
      </c>
      <c r="AD13" s="56">
        <v>1</v>
      </c>
      <c r="AE13" s="56">
        <f t="shared" si="5"/>
        <v>0</v>
      </c>
      <c r="AF13" s="50">
        <f t="shared" si="6"/>
        <v>0</v>
      </c>
      <c r="AG13" s="50">
        <f t="shared" si="29"/>
        <v>0</v>
      </c>
      <c r="AH13" s="56">
        <v>31</v>
      </c>
      <c r="AI13" s="56">
        <v>1</v>
      </c>
      <c r="AJ13" s="56">
        <f t="shared" si="7"/>
        <v>0</v>
      </c>
      <c r="AK13" s="50">
        <f t="shared" si="30"/>
        <v>0</v>
      </c>
      <c r="AL13" s="50">
        <f t="shared" si="31"/>
        <v>0</v>
      </c>
      <c r="AM13" s="56">
        <v>31</v>
      </c>
      <c r="AN13" s="56">
        <v>1</v>
      </c>
      <c r="AO13" s="56">
        <f t="shared" si="8"/>
        <v>0</v>
      </c>
      <c r="AP13" s="50">
        <f t="shared" si="32"/>
        <v>0</v>
      </c>
      <c r="AQ13" s="50">
        <f t="shared" si="33"/>
        <v>0</v>
      </c>
      <c r="AR13" s="56">
        <v>31</v>
      </c>
      <c r="AS13" s="56">
        <v>1</v>
      </c>
      <c r="AT13" s="56">
        <f t="shared" si="9"/>
        <v>0</v>
      </c>
      <c r="AU13" s="50">
        <f t="shared" si="34"/>
        <v>0</v>
      </c>
      <c r="AV13" s="50">
        <f t="shared" si="35"/>
        <v>0</v>
      </c>
      <c r="AW13" s="56">
        <v>31</v>
      </c>
      <c r="AX13" s="56">
        <v>1</v>
      </c>
      <c r="AY13" s="56">
        <f t="shared" si="10"/>
        <v>0</v>
      </c>
      <c r="AZ13" s="50">
        <f t="shared" si="36"/>
        <v>0</v>
      </c>
      <c r="BA13" s="50">
        <f t="shared" si="37"/>
        <v>0</v>
      </c>
      <c r="BB13" s="56">
        <v>31</v>
      </c>
      <c r="BC13" s="56">
        <v>1</v>
      </c>
      <c r="BD13" s="56">
        <f t="shared" si="11"/>
        <v>0</v>
      </c>
      <c r="BE13" s="50">
        <f t="shared" si="38"/>
        <v>0</v>
      </c>
      <c r="BF13" s="50">
        <f t="shared" si="39"/>
        <v>0</v>
      </c>
      <c r="BG13" s="56">
        <v>31</v>
      </c>
      <c r="BH13" s="56">
        <v>1</v>
      </c>
      <c r="BI13" s="56">
        <f t="shared" si="12"/>
        <v>0</v>
      </c>
      <c r="BJ13" s="50">
        <f t="shared" si="40"/>
        <v>0</v>
      </c>
      <c r="BK13" s="50">
        <f t="shared" si="41"/>
        <v>0</v>
      </c>
      <c r="BL13" s="56">
        <v>31</v>
      </c>
      <c r="BM13" s="56">
        <v>1</v>
      </c>
      <c r="BN13" s="56">
        <f t="shared" si="13"/>
        <v>0</v>
      </c>
      <c r="BO13" s="50">
        <f t="shared" si="42"/>
        <v>0</v>
      </c>
      <c r="BP13" s="50">
        <f t="shared" si="43"/>
        <v>0</v>
      </c>
      <c r="BQ13" s="56">
        <v>31</v>
      </c>
      <c r="BR13" s="56">
        <v>1</v>
      </c>
      <c r="BS13" s="56">
        <f t="shared" si="14"/>
        <v>0</v>
      </c>
      <c r="BT13" s="50">
        <f t="shared" si="44"/>
        <v>0</v>
      </c>
      <c r="BU13" s="50">
        <f t="shared" si="45"/>
        <v>0</v>
      </c>
      <c r="BV13" s="56">
        <v>31</v>
      </c>
      <c r="BW13" s="56">
        <v>1</v>
      </c>
      <c r="BX13" s="56">
        <f t="shared" si="15"/>
        <v>0</v>
      </c>
      <c r="BY13" s="50">
        <f t="shared" si="46"/>
        <v>0</v>
      </c>
      <c r="BZ13" s="50">
        <f t="shared" si="47"/>
        <v>0</v>
      </c>
      <c r="CA13" s="56">
        <v>31</v>
      </c>
      <c r="CB13" s="56">
        <v>1</v>
      </c>
      <c r="CC13" s="56">
        <f t="shared" si="16"/>
        <v>0</v>
      </c>
      <c r="CD13" s="50">
        <f t="shared" si="48"/>
        <v>0</v>
      </c>
      <c r="CE13" s="50">
        <f t="shared" si="49"/>
        <v>0</v>
      </c>
      <c r="CF13" s="56">
        <v>31</v>
      </c>
      <c r="CG13" s="56">
        <v>1</v>
      </c>
      <c r="CH13" s="56">
        <f t="shared" si="17"/>
        <v>0</v>
      </c>
      <c r="CI13" s="50">
        <f t="shared" si="50"/>
        <v>0</v>
      </c>
      <c r="CJ13" s="50">
        <f t="shared" si="51"/>
        <v>0</v>
      </c>
      <c r="CK13" s="56">
        <v>31</v>
      </c>
      <c r="CL13" s="56">
        <v>1</v>
      </c>
      <c r="CM13" s="56">
        <f t="shared" si="18"/>
        <v>0</v>
      </c>
      <c r="CN13" s="50">
        <f t="shared" si="52"/>
        <v>0</v>
      </c>
      <c r="CO13" s="50">
        <f t="shared" si="53"/>
        <v>0</v>
      </c>
    </row>
    <row r="14" spans="3:93" x14ac:dyDescent="0.75">
      <c r="C14" s="49" t="s">
        <v>71</v>
      </c>
      <c r="D14" s="56">
        <v>30</v>
      </c>
      <c r="E14" s="56">
        <v>1</v>
      </c>
      <c r="F14" s="56">
        <f t="shared" si="0"/>
        <v>0</v>
      </c>
      <c r="G14" s="50">
        <f t="shared" si="19"/>
        <v>0</v>
      </c>
      <c r="H14" s="50">
        <f t="shared" si="20"/>
        <v>0</v>
      </c>
      <c r="I14" s="56">
        <v>30</v>
      </c>
      <c r="J14" s="56">
        <v>1</v>
      </c>
      <c r="K14" s="56">
        <f t="shared" si="1"/>
        <v>0</v>
      </c>
      <c r="L14" s="50">
        <f t="shared" si="21"/>
        <v>0</v>
      </c>
      <c r="M14" s="50">
        <f t="shared" si="22"/>
        <v>0</v>
      </c>
      <c r="N14" s="56">
        <v>30</v>
      </c>
      <c r="O14" s="56">
        <v>1</v>
      </c>
      <c r="P14" s="56">
        <f t="shared" si="2"/>
        <v>0</v>
      </c>
      <c r="Q14" s="50">
        <f t="shared" si="23"/>
        <v>0</v>
      </c>
      <c r="R14" s="50">
        <f t="shared" si="24"/>
        <v>0</v>
      </c>
      <c r="S14" s="56">
        <v>30</v>
      </c>
      <c r="T14" s="56">
        <v>1</v>
      </c>
      <c r="U14" s="56">
        <f t="shared" si="3"/>
        <v>0</v>
      </c>
      <c r="V14" s="50">
        <f t="shared" si="25"/>
        <v>0</v>
      </c>
      <c r="W14" s="50">
        <f t="shared" si="26"/>
        <v>0</v>
      </c>
      <c r="X14" s="56">
        <v>30</v>
      </c>
      <c r="Y14" s="56">
        <v>1</v>
      </c>
      <c r="Z14" s="56">
        <f t="shared" si="4"/>
        <v>0</v>
      </c>
      <c r="AA14" s="50">
        <f t="shared" si="27"/>
        <v>0</v>
      </c>
      <c r="AB14" s="50">
        <f t="shared" si="28"/>
        <v>0</v>
      </c>
      <c r="AC14" s="56">
        <v>30</v>
      </c>
      <c r="AD14" s="56">
        <v>1</v>
      </c>
      <c r="AE14" s="56">
        <f t="shared" si="5"/>
        <v>0</v>
      </c>
      <c r="AF14" s="50">
        <f t="shared" si="6"/>
        <v>0</v>
      </c>
      <c r="AG14" s="50">
        <f t="shared" si="29"/>
        <v>0</v>
      </c>
      <c r="AH14" s="56">
        <v>30</v>
      </c>
      <c r="AI14" s="56">
        <v>1</v>
      </c>
      <c r="AJ14" s="56">
        <f t="shared" si="7"/>
        <v>0</v>
      </c>
      <c r="AK14" s="50">
        <f t="shared" si="30"/>
        <v>0</v>
      </c>
      <c r="AL14" s="50">
        <f t="shared" si="31"/>
        <v>0</v>
      </c>
      <c r="AM14" s="56">
        <v>30</v>
      </c>
      <c r="AN14" s="56">
        <v>1</v>
      </c>
      <c r="AO14" s="56">
        <f t="shared" si="8"/>
        <v>0</v>
      </c>
      <c r="AP14" s="50">
        <f t="shared" si="32"/>
        <v>0</v>
      </c>
      <c r="AQ14" s="50">
        <f t="shared" si="33"/>
        <v>0</v>
      </c>
      <c r="AR14" s="56">
        <v>30</v>
      </c>
      <c r="AS14" s="56">
        <v>1</v>
      </c>
      <c r="AT14" s="56">
        <f t="shared" si="9"/>
        <v>0</v>
      </c>
      <c r="AU14" s="50">
        <f t="shared" si="34"/>
        <v>0</v>
      </c>
      <c r="AV14" s="50">
        <f t="shared" si="35"/>
        <v>0</v>
      </c>
      <c r="AW14" s="56">
        <v>30</v>
      </c>
      <c r="AX14" s="56">
        <v>1</v>
      </c>
      <c r="AY14" s="56">
        <f t="shared" si="10"/>
        <v>0</v>
      </c>
      <c r="AZ14" s="50">
        <f t="shared" si="36"/>
        <v>0</v>
      </c>
      <c r="BA14" s="50">
        <f t="shared" si="37"/>
        <v>0</v>
      </c>
      <c r="BB14" s="56">
        <v>30</v>
      </c>
      <c r="BC14" s="56">
        <v>1</v>
      </c>
      <c r="BD14" s="56">
        <f t="shared" si="11"/>
        <v>0</v>
      </c>
      <c r="BE14" s="50">
        <f t="shared" si="38"/>
        <v>0</v>
      </c>
      <c r="BF14" s="50">
        <f t="shared" si="39"/>
        <v>0</v>
      </c>
      <c r="BG14" s="56">
        <v>30</v>
      </c>
      <c r="BH14" s="56">
        <v>1</v>
      </c>
      <c r="BI14" s="56">
        <f t="shared" si="12"/>
        <v>0</v>
      </c>
      <c r="BJ14" s="50">
        <f t="shared" si="40"/>
        <v>0</v>
      </c>
      <c r="BK14" s="50">
        <f t="shared" si="41"/>
        <v>0</v>
      </c>
      <c r="BL14" s="56">
        <v>30</v>
      </c>
      <c r="BM14" s="56">
        <v>1</v>
      </c>
      <c r="BN14" s="56">
        <f t="shared" si="13"/>
        <v>0</v>
      </c>
      <c r="BO14" s="50">
        <f t="shared" si="42"/>
        <v>0</v>
      </c>
      <c r="BP14" s="50">
        <f t="shared" si="43"/>
        <v>0</v>
      </c>
      <c r="BQ14" s="56">
        <v>30</v>
      </c>
      <c r="BR14" s="56">
        <v>1</v>
      </c>
      <c r="BS14" s="56">
        <f t="shared" si="14"/>
        <v>0</v>
      </c>
      <c r="BT14" s="50">
        <f t="shared" si="44"/>
        <v>0</v>
      </c>
      <c r="BU14" s="50">
        <f t="shared" si="45"/>
        <v>0</v>
      </c>
      <c r="BV14" s="56">
        <v>30</v>
      </c>
      <c r="BW14" s="56">
        <v>1</v>
      </c>
      <c r="BX14" s="56">
        <f t="shared" si="15"/>
        <v>0</v>
      </c>
      <c r="BY14" s="50">
        <f t="shared" si="46"/>
        <v>0</v>
      </c>
      <c r="BZ14" s="50">
        <f t="shared" si="47"/>
        <v>0</v>
      </c>
      <c r="CA14" s="56">
        <v>30</v>
      </c>
      <c r="CB14" s="56">
        <v>1</v>
      </c>
      <c r="CC14" s="56">
        <f t="shared" si="16"/>
        <v>0</v>
      </c>
      <c r="CD14" s="50">
        <f t="shared" si="48"/>
        <v>0</v>
      </c>
      <c r="CE14" s="50">
        <f t="shared" si="49"/>
        <v>0</v>
      </c>
      <c r="CF14" s="56">
        <v>30</v>
      </c>
      <c r="CG14" s="56">
        <v>1</v>
      </c>
      <c r="CH14" s="56">
        <f t="shared" si="17"/>
        <v>0</v>
      </c>
      <c r="CI14" s="50">
        <f t="shared" si="50"/>
        <v>0</v>
      </c>
      <c r="CJ14" s="50">
        <f t="shared" si="51"/>
        <v>0</v>
      </c>
      <c r="CK14" s="56">
        <v>30</v>
      </c>
      <c r="CL14" s="56">
        <v>1</v>
      </c>
      <c r="CM14" s="56">
        <f t="shared" si="18"/>
        <v>0</v>
      </c>
      <c r="CN14" s="50">
        <f t="shared" si="52"/>
        <v>0</v>
      </c>
      <c r="CO14" s="50">
        <f t="shared" si="53"/>
        <v>0</v>
      </c>
    </row>
    <row r="15" spans="3:93" x14ac:dyDescent="0.75">
      <c r="C15" s="49" t="s">
        <v>72</v>
      </c>
      <c r="D15" s="56">
        <v>31</v>
      </c>
      <c r="E15" s="56">
        <v>1</v>
      </c>
      <c r="F15" s="56">
        <f t="shared" si="0"/>
        <v>0</v>
      </c>
      <c r="G15" s="50">
        <f t="shared" si="19"/>
        <v>0</v>
      </c>
      <c r="H15" s="50">
        <f t="shared" si="20"/>
        <v>0</v>
      </c>
      <c r="I15" s="56">
        <v>31</v>
      </c>
      <c r="J15" s="56">
        <v>1</v>
      </c>
      <c r="K15" s="56">
        <f t="shared" si="1"/>
        <v>0</v>
      </c>
      <c r="L15" s="50">
        <f t="shared" si="21"/>
        <v>0</v>
      </c>
      <c r="M15" s="50">
        <f t="shared" si="22"/>
        <v>0</v>
      </c>
      <c r="N15" s="56">
        <v>31</v>
      </c>
      <c r="O15" s="56">
        <v>1</v>
      </c>
      <c r="P15" s="56">
        <f t="shared" si="2"/>
        <v>0</v>
      </c>
      <c r="Q15" s="50">
        <f t="shared" si="23"/>
        <v>0</v>
      </c>
      <c r="R15" s="50">
        <f t="shared" si="24"/>
        <v>0</v>
      </c>
      <c r="S15" s="56">
        <v>31</v>
      </c>
      <c r="T15" s="56">
        <v>1</v>
      </c>
      <c r="U15" s="56">
        <f t="shared" si="3"/>
        <v>0</v>
      </c>
      <c r="V15" s="50">
        <f t="shared" si="25"/>
        <v>0</v>
      </c>
      <c r="W15" s="50">
        <f t="shared" si="26"/>
        <v>0</v>
      </c>
      <c r="X15" s="56">
        <v>31</v>
      </c>
      <c r="Y15" s="56">
        <v>1</v>
      </c>
      <c r="Z15" s="56">
        <f t="shared" si="4"/>
        <v>0</v>
      </c>
      <c r="AA15" s="50">
        <f t="shared" si="27"/>
        <v>0</v>
      </c>
      <c r="AB15" s="50">
        <f t="shared" si="28"/>
        <v>0</v>
      </c>
      <c r="AC15" s="56">
        <v>31</v>
      </c>
      <c r="AD15" s="56">
        <v>1</v>
      </c>
      <c r="AE15" s="56">
        <f t="shared" si="5"/>
        <v>0</v>
      </c>
      <c r="AF15" s="50">
        <f t="shared" si="6"/>
        <v>0</v>
      </c>
      <c r="AG15" s="50">
        <f t="shared" si="29"/>
        <v>0</v>
      </c>
      <c r="AH15" s="56">
        <v>31</v>
      </c>
      <c r="AI15" s="56">
        <v>1</v>
      </c>
      <c r="AJ15" s="56">
        <f t="shared" si="7"/>
        <v>0</v>
      </c>
      <c r="AK15" s="50">
        <f t="shared" si="30"/>
        <v>0</v>
      </c>
      <c r="AL15" s="50">
        <f t="shared" si="31"/>
        <v>0</v>
      </c>
      <c r="AM15" s="56">
        <v>31</v>
      </c>
      <c r="AN15" s="56">
        <v>1</v>
      </c>
      <c r="AO15" s="56">
        <f t="shared" si="8"/>
        <v>0</v>
      </c>
      <c r="AP15" s="50">
        <f t="shared" si="32"/>
        <v>0</v>
      </c>
      <c r="AQ15" s="50">
        <f t="shared" si="33"/>
        <v>0</v>
      </c>
      <c r="AR15" s="56">
        <v>31</v>
      </c>
      <c r="AS15" s="56">
        <v>1</v>
      </c>
      <c r="AT15" s="56">
        <f t="shared" si="9"/>
        <v>0</v>
      </c>
      <c r="AU15" s="50">
        <f t="shared" si="34"/>
        <v>0</v>
      </c>
      <c r="AV15" s="50">
        <f t="shared" si="35"/>
        <v>0</v>
      </c>
      <c r="AW15" s="56">
        <v>31</v>
      </c>
      <c r="AX15" s="56">
        <v>1</v>
      </c>
      <c r="AY15" s="56">
        <f t="shared" si="10"/>
        <v>0</v>
      </c>
      <c r="AZ15" s="50">
        <f t="shared" si="36"/>
        <v>0</v>
      </c>
      <c r="BA15" s="50">
        <f t="shared" si="37"/>
        <v>0</v>
      </c>
      <c r="BB15" s="56">
        <v>31</v>
      </c>
      <c r="BC15" s="56">
        <v>1</v>
      </c>
      <c r="BD15" s="56">
        <f t="shared" si="11"/>
        <v>0</v>
      </c>
      <c r="BE15" s="50">
        <f t="shared" si="38"/>
        <v>0</v>
      </c>
      <c r="BF15" s="50">
        <f t="shared" si="39"/>
        <v>0</v>
      </c>
      <c r="BG15" s="56">
        <v>31</v>
      </c>
      <c r="BH15" s="56">
        <v>1</v>
      </c>
      <c r="BI15" s="56">
        <f t="shared" si="12"/>
        <v>0</v>
      </c>
      <c r="BJ15" s="50">
        <f t="shared" si="40"/>
        <v>0</v>
      </c>
      <c r="BK15" s="50">
        <f t="shared" si="41"/>
        <v>0</v>
      </c>
      <c r="BL15" s="56">
        <v>31</v>
      </c>
      <c r="BM15" s="56">
        <v>1</v>
      </c>
      <c r="BN15" s="56">
        <f t="shared" si="13"/>
        <v>0</v>
      </c>
      <c r="BO15" s="50">
        <f t="shared" si="42"/>
        <v>0</v>
      </c>
      <c r="BP15" s="50">
        <f t="shared" si="43"/>
        <v>0</v>
      </c>
      <c r="BQ15" s="56">
        <v>31</v>
      </c>
      <c r="BR15" s="56">
        <v>1</v>
      </c>
      <c r="BS15" s="56">
        <f t="shared" si="14"/>
        <v>0</v>
      </c>
      <c r="BT15" s="50">
        <f t="shared" si="44"/>
        <v>0</v>
      </c>
      <c r="BU15" s="50">
        <f t="shared" si="45"/>
        <v>0</v>
      </c>
      <c r="BV15" s="56">
        <v>31</v>
      </c>
      <c r="BW15" s="56">
        <v>1</v>
      </c>
      <c r="BX15" s="56">
        <f t="shared" si="15"/>
        <v>0</v>
      </c>
      <c r="BY15" s="50">
        <f t="shared" si="46"/>
        <v>0</v>
      </c>
      <c r="BZ15" s="50">
        <f t="shared" si="47"/>
        <v>0</v>
      </c>
      <c r="CA15" s="56">
        <v>31</v>
      </c>
      <c r="CB15" s="56">
        <v>1</v>
      </c>
      <c r="CC15" s="56">
        <f t="shared" si="16"/>
        <v>0</v>
      </c>
      <c r="CD15" s="50">
        <f t="shared" si="48"/>
        <v>0</v>
      </c>
      <c r="CE15" s="50">
        <f t="shared" si="49"/>
        <v>0</v>
      </c>
      <c r="CF15" s="56">
        <v>31</v>
      </c>
      <c r="CG15" s="56">
        <v>1</v>
      </c>
      <c r="CH15" s="56">
        <f t="shared" si="17"/>
        <v>0</v>
      </c>
      <c r="CI15" s="50">
        <f t="shared" si="50"/>
        <v>0</v>
      </c>
      <c r="CJ15" s="50">
        <f t="shared" si="51"/>
        <v>0</v>
      </c>
      <c r="CK15" s="56">
        <v>31</v>
      </c>
      <c r="CL15" s="56">
        <v>1</v>
      </c>
      <c r="CM15" s="56">
        <f t="shared" si="18"/>
        <v>0</v>
      </c>
      <c r="CN15" s="50">
        <f t="shared" si="52"/>
        <v>0</v>
      </c>
      <c r="CO15" s="50">
        <f t="shared" si="53"/>
        <v>0</v>
      </c>
    </row>
    <row r="16" spans="3:93" x14ac:dyDescent="0.75">
      <c r="C16" s="49" t="s">
        <v>73</v>
      </c>
      <c r="D16" s="56">
        <v>22</v>
      </c>
      <c r="E16" s="56">
        <v>1</v>
      </c>
      <c r="F16" s="56">
        <f t="shared" si="0"/>
        <v>0</v>
      </c>
      <c r="G16" s="50">
        <f t="shared" si="19"/>
        <v>0</v>
      </c>
      <c r="H16" s="50">
        <f t="shared" si="20"/>
        <v>0</v>
      </c>
      <c r="I16" s="56">
        <v>31</v>
      </c>
      <c r="J16" s="56">
        <v>1</v>
      </c>
      <c r="K16" s="56">
        <f t="shared" si="1"/>
        <v>0</v>
      </c>
      <c r="L16" s="50">
        <f t="shared" si="21"/>
        <v>0</v>
      </c>
      <c r="M16" s="50">
        <f t="shared" si="22"/>
        <v>0</v>
      </c>
      <c r="N16" s="56">
        <v>31</v>
      </c>
      <c r="O16" s="56">
        <v>1</v>
      </c>
      <c r="P16" s="56">
        <f t="shared" si="2"/>
        <v>0</v>
      </c>
      <c r="Q16" s="50">
        <f t="shared" si="23"/>
        <v>0</v>
      </c>
      <c r="R16" s="50">
        <f t="shared" si="24"/>
        <v>0</v>
      </c>
      <c r="S16" s="56">
        <v>31</v>
      </c>
      <c r="T16" s="56">
        <v>1</v>
      </c>
      <c r="U16" s="56">
        <f t="shared" si="3"/>
        <v>0</v>
      </c>
      <c r="V16" s="50">
        <f t="shared" si="25"/>
        <v>0</v>
      </c>
      <c r="W16" s="50">
        <f t="shared" si="26"/>
        <v>0</v>
      </c>
      <c r="X16" s="56">
        <v>31</v>
      </c>
      <c r="Y16" s="56">
        <v>1</v>
      </c>
      <c r="Z16" s="56">
        <f t="shared" si="4"/>
        <v>0</v>
      </c>
      <c r="AA16" s="50">
        <f t="shared" si="27"/>
        <v>0</v>
      </c>
      <c r="AB16" s="50">
        <f t="shared" si="28"/>
        <v>0</v>
      </c>
      <c r="AC16" s="56">
        <v>31</v>
      </c>
      <c r="AD16" s="56">
        <v>1</v>
      </c>
      <c r="AE16" s="56">
        <f t="shared" si="5"/>
        <v>0</v>
      </c>
      <c r="AF16" s="50">
        <f t="shared" si="6"/>
        <v>0</v>
      </c>
      <c r="AG16" s="50">
        <f t="shared" si="29"/>
        <v>0</v>
      </c>
      <c r="AH16" s="56">
        <v>31</v>
      </c>
      <c r="AI16" s="56">
        <v>1</v>
      </c>
      <c r="AJ16" s="56">
        <f t="shared" si="7"/>
        <v>0</v>
      </c>
      <c r="AK16" s="50">
        <f t="shared" si="30"/>
        <v>0</v>
      </c>
      <c r="AL16" s="50">
        <f t="shared" si="31"/>
        <v>0</v>
      </c>
      <c r="AM16" s="56">
        <v>31</v>
      </c>
      <c r="AN16" s="56">
        <v>1</v>
      </c>
      <c r="AO16" s="56">
        <f t="shared" si="8"/>
        <v>0</v>
      </c>
      <c r="AP16" s="50">
        <f t="shared" si="32"/>
        <v>0</v>
      </c>
      <c r="AQ16" s="50">
        <f t="shared" si="33"/>
        <v>0</v>
      </c>
      <c r="AR16" s="56">
        <v>31</v>
      </c>
      <c r="AS16" s="56">
        <v>1</v>
      </c>
      <c r="AT16" s="56">
        <f t="shared" si="9"/>
        <v>0</v>
      </c>
      <c r="AU16" s="50">
        <f t="shared" si="34"/>
        <v>0</v>
      </c>
      <c r="AV16" s="50">
        <f t="shared" si="35"/>
        <v>0</v>
      </c>
      <c r="AW16" s="56">
        <v>31</v>
      </c>
      <c r="AX16" s="56">
        <v>1</v>
      </c>
      <c r="AY16" s="56">
        <f t="shared" si="10"/>
        <v>0</v>
      </c>
      <c r="AZ16" s="50">
        <f t="shared" si="36"/>
        <v>0</v>
      </c>
      <c r="BA16" s="50">
        <f t="shared" si="37"/>
        <v>0</v>
      </c>
      <c r="BB16" s="56">
        <v>31</v>
      </c>
      <c r="BC16" s="56">
        <v>1</v>
      </c>
      <c r="BD16" s="56">
        <f t="shared" si="11"/>
        <v>0</v>
      </c>
      <c r="BE16" s="50">
        <f t="shared" si="38"/>
        <v>0</v>
      </c>
      <c r="BF16" s="50">
        <f t="shared" si="39"/>
        <v>0</v>
      </c>
      <c r="BG16" s="56">
        <v>31</v>
      </c>
      <c r="BH16" s="56">
        <v>1</v>
      </c>
      <c r="BI16" s="56">
        <f t="shared" si="12"/>
        <v>0</v>
      </c>
      <c r="BJ16" s="50">
        <f t="shared" si="40"/>
        <v>0</v>
      </c>
      <c r="BK16" s="50">
        <f t="shared" si="41"/>
        <v>0</v>
      </c>
      <c r="BL16" s="56">
        <v>31</v>
      </c>
      <c r="BM16" s="56">
        <v>1</v>
      </c>
      <c r="BN16" s="56">
        <f t="shared" si="13"/>
        <v>0</v>
      </c>
      <c r="BO16" s="50">
        <f t="shared" si="42"/>
        <v>0</v>
      </c>
      <c r="BP16" s="50">
        <f t="shared" si="43"/>
        <v>0</v>
      </c>
      <c r="BQ16" s="56">
        <v>31</v>
      </c>
      <c r="BR16" s="56">
        <v>1</v>
      </c>
      <c r="BS16" s="56">
        <f t="shared" si="14"/>
        <v>0</v>
      </c>
      <c r="BT16" s="50">
        <f t="shared" si="44"/>
        <v>0</v>
      </c>
      <c r="BU16" s="50">
        <f t="shared" si="45"/>
        <v>0</v>
      </c>
      <c r="BV16" s="56">
        <v>31</v>
      </c>
      <c r="BW16" s="56">
        <v>1</v>
      </c>
      <c r="BX16" s="56">
        <f t="shared" si="15"/>
        <v>0</v>
      </c>
      <c r="BY16" s="50">
        <f t="shared" si="46"/>
        <v>0</v>
      </c>
      <c r="BZ16" s="50">
        <f t="shared" si="47"/>
        <v>0</v>
      </c>
      <c r="CA16" s="56">
        <v>31</v>
      </c>
      <c r="CB16" s="56">
        <v>1</v>
      </c>
      <c r="CC16" s="56">
        <f t="shared" si="16"/>
        <v>0</v>
      </c>
      <c r="CD16" s="50">
        <f t="shared" si="48"/>
        <v>0</v>
      </c>
      <c r="CE16" s="50">
        <f t="shared" si="49"/>
        <v>0</v>
      </c>
      <c r="CF16" s="56">
        <v>31</v>
      </c>
      <c r="CG16" s="56">
        <v>1</v>
      </c>
      <c r="CH16" s="56">
        <f t="shared" si="17"/>
        <v>0</v>
      </c>
      <c r="CI16" s="50">
        <f t="shared" si="50"/>
        <v>0</v>
      </c>
      <c r="CJ16" s="50">
        <f t="shared" si="51"/>
        <v>0</v>
      </c>
      <c r="CK16" s="56">
        <v>31</v>
      </c>
      <c r="CL16" s="56">
        <v>1</v>
      </c>
      <c r="CM16" s="56">
        <f t="shared" si="18"/>
        <v>0</v>
      </c>
      <c r="CN16" s="50">
        <f t="shared" si="52"/>
        <v>0</v>
      </c>
      <c r="CO16" s="50">
        <f t="shared" si="53"/>
        <v>0</v>
      </c>
    </row>
    <row r="17" spans="3:93" x14ac:dyDescent="0.75">
      <c r="C17" s="49" t="s">
        <v>75</v>
      </c>
      <c r="D17" s="56">
        <v>30</v>
      </c>
      <c r="E17" s="56">
        <v>1</v>
      </c>
      <c r="F17" s="56">
        <f t="shared" si="0"/>
        <v>0</v>
      </c>
      <c r="G17" s="50">
        <f t="shared" si="19"/>
        <v>0</v>
      </c>
      <c r="H17" s="50">
        <f t="shared" si="20"/>
        <v>0</v>
      </c>
      <c r="I17" s="56">
        <v>30</v>
      </c>
      <c r="J17" s="56">
        <v>1</v>
      </c>
      <c r="K17" s="56">
        <f t="shared" si="1"/>
        <v>0</v>
      </c>
      <c r="L17" s="50">
        <f t="shared" si="21"/>
        <v>0</v>
      </c>
      <c r="M17" s="50">
        <f t="shared" si="22"/>
        <v>0</v>
      </c>
      <c r="N17" s="56">
        <v>30</v>
      </c>
      <c r="O17" s="56">
        <v>1</v>
      </c>
      <c r="P17" s="56">
        <f t="shared" si="2"/>
        <v>0</v>
      </c>
      <c r="Q17" s="50">
        <f t="shared" si="23"/>
        <v>0</v>
      </c>
      <c r="R17" s="50">
        <f t="shared" si="24"/>
        <v>0</v>
      </c>
      <c r="S17" s="56">
        <v>30</v>
      </c>
      <c r="T17" s="56">
        <v>1</v>
      </c>
      <c r="U17" s="56">
        <f t="shared" si="3"/>
        <v>0</v>
      </c>
      <c r="V17" s="50">
        <f t="shared" si="25"/>
        <v>0</v>
      </c>
      <c r="W17" s="50">
        <f t="shared" si="26"/>
        <v>0</v>
      </c>
      <c r="X17" s="56">
        <v>30</v>
      </c>
      <c r="Y17" s="56">
        <v>1</v>
      </c>
      <c r="Z17" s="56">
        <f t="shared" si="4"/>
        <v>0</v>
      </c>
      <c r="AA17" s="50">
        <f t="shared" si="27"/>
        <v>0</v>
      </c>
      <c r="AB17" s="50">
        <f t="shared" si="28"/>
        <v>0</v>
      </c>
      <c r="AC17" s="56">
        <v>30</v>
      </c>
      <c r="AD17" s="56">
        <v>1</v>
      </c>
      <c r="AE17" s="56">
        <f t="shared" si="5"/>
        <v>0</v>
      </c>
      <c r="AF17" s="50">
        <f t="shared" si="6"/>
        <v>0</v>
      </c>
      <c r="AG17" s="50">
        <f t="shared" si="29"/>
        <v>0</v>
      </c>
      <c r="AH17" s="56">
        <v>30</v>
      </c>
      <c r="AI17" s="56">
        <v>1</v>
      </c>
      <c r="AJ17" s="56">
        <f t="shared" si="7"/>
        <v>0</v>
      </c>
      <c r="AK17" s="50">
        <f t="shared" si="30"/>
        <v>0</v>
      </c>
      <c r="AL17" s="50">
        <f t="shared" si="31"/>
        <v>0</v>
      </c>
      <c r="AM17" s="56">
        <v>30</v>
      </c>
      <c r="AN17" s="56">
        <v>1</v>
      </c>
      <c r="AO17" s="56">
        <f t="shared" si="8"/>
        <v>0</v>
      </c>
      <c r="AP17" s="50">
        <f t="shared" si="32"/>
        <v>0</v>
      </c>
      <c r="AQ17" s="50">
        <f t="shared" si="33"/>
        <v>0</v>
      </c>
      <c r="AR17" s="56">
        <v>30</v>
      </c>
      <c r="AS17" s="56">
        <v>1</v>
      </c>
      <c r="AT17" s="56">
        <f t="shared" si="9"/>
        <v>0</v>
      </c>
      <c r="AU17" s="50">
        <f t="shared" si="34"/>
        <v>0</v>
      </c>
      <c r="AV17" s="50">
        <f t="shared" si="35"/>
        <v>0</v>
      </c>
      <c r="AW17" s="56">
        <v>30</v>
      </c>
      <c r="AX17" s="56">
        <v>1</v>
      </c>
      <c r="AY17" s="56">
        <f t="shared" si="10"/>
        <v>0</v>
      </c>
      <c r="AZ17" s="50">
        <f t="shared" si="36"/>
        <v>0</v>
      </c>
      <c r="BA17" s="50">
        <f t="shared" si="37"/>
        <v>0</v>
      </c>
      <c r="BB17" s="56">
        <v>30</v>
      </c>
      <c r="BC17" s="56">
        <v>1</v>
      </c>
      <c r="BD17" s="56">
        <f t="shared" si="11"/>
        <v>0</v>
      </c>
      <c r="BE17" s="50">
        <f t="shared" si="38"/>
        <v>0</v>
      </c>
      <c r="BF17" s="50">
        <f t="shared" si="39"/>
        <v>0</v>
      </c>
      <c r="BG17" s="56">
        <v>30</v>
      </c>
      <c r="BH17" s="56">
        <v>1</v>
      </c>
      <c r="BI17" s="56">
        <f t="shared" si="12"/>
        <v>0</v>
      </c>
      <c r="BJ17" s="50">
        <f t="shared" si="40"/>
        <v>0</v>
      </c>
      <c r="BK17" s="50">
        <f t="shared" si="41"/>
        <v>0</v>
      </c>
      <c r="BL17" s="56">
        <v>30</v>
      </c>
      <c r="BM17" s="56">
        <v>1</v>
      </c>
      <c r="BN17" s="56">
        <f t="shared" si="13"/>
        <v>0</v>
      </c>
      <c r="BO17" s="50">
        <f t="shared" si="42"/>
        <v>0</v>
      </c>
      <c r="BP17" s="50">
        <f t="shared" si="43"/>
        <v>0</v>
      </c>
      <c r="BQ17" s="56">
        <v>30</v>
      </c>
      <c r="BR17" s="56">
        <v>1</v>
      </c>
      <c r="BS17" s="56">
        <f t="shared" si="14"/>
        <v>0</v>
      </c>
      <c r="BT17" s="50">
        <f t="shared" si="44"/>
        <v>0</v>
      </c>
      <c r="BU17" s="50">
        <f t="shared" si="45"/>
        <v>0</v>
      </c>
      <c r="BV17" s="56">
        <v>30</v>
      </c>
      <c r="BW17" s="56">
        <v>1</v>
      </c>
      <c r="BX17" s="56">
        <f t="shared" si="15"/>
        <v>0</v>
      </c>
      <c r="BY17" s="50">
        <f t="shared" si="46"/>
        <v>0</v>
      </c>
      <c r="BZ17" s="50">
        <f t="shared" si="47"/>
        <v>0</v>
      </c>
      <c r="CA17" s="56">
        <v>30</v>
      </c>
      <c r="CB17" s="56">
        <v>1</v>
      </c>
      <c r="CC17" s="56">
        <f t="shared" si="16"/>
        <v>0</v>
      </c>
      <c r="CD17" s="50">
        <f t="shared" si="48"/>
        <v>0</v>
      </c>
      <c r="CE17" s="50">
        <f t="shared" si="49"/>
        <v>0</v>
      </c>
      <c r="CF17" s="56">
        <v>30</v>
      </c>
      <c r="CG17" s="56">
        <v>1</v>
      </c>
      <c r="CH17" s="56">
        <f t="shared" si="17"/>
        <v>0</v>
      </c>
      <c r="CI17" s="50">
        <f t="shared" si="50"/>
        <v>0</v>
      </c>
      <c r="CJ17" s="50">
        <f t="shared" si="51"/>
        <v>0</v>
      </c>
      <c r="CK17" s="56">
        <v>30</v>
      </c>
      <c r="CL17" s="56">
        <v>1</v>
      </c>
      <c r="CM17" s="56">
        <f t="shared" si="18"/>
        <v>0</v>
      </c>
      <c r="CN17" s="50">
        <f t="shared" si="52"/>
        <v>0</v>
      </c>
      <c r="CO17" s="50">
        <f t="shared" si="53"/>
        <v>0</v>
      </c>
    </row>
    <row r="18" spans="3:93" x14ac:dyDescent="0.75">
      <c r="C18" s="49" t="s">
        <v>76</v>
      </c>
      <c r="D18" s="56">
        <v>31</v>
      </c>
      <c r="E18" s="56">
        <v>1</v>
      </c>
      <c r="F18" s="56">
        <f t="shared" si="0"/>
        <v>0</v>
      </c>
      <c r="G18" s="50">
        <f t="shared" si="19"/>
        <v>0</v>
      </c>
      <c r="H18" s="50">
        <f t="shared" si="20"/>
        <v>0</v>
      </c>
      <c r="I18" s="56">
        <v>31</v>
      </c>
      <c r="J18" s="56">
        <v>1</v>
      </c>
      <c r="K18" s="56">
        <f t="shared" si="1"/>
        <v>0</v>
      </c>
      <c r="L18" s="50">
        <f t="shared" si="21"/>
        <v>0</v>
      </c>
      <c r="M18" s="50">
        <f t="shared" si="22"/>
        <v>0</v>
      </c>
      <c r="N18" s="56">
        <v>31</v>
      </c>
      <c r="O18" s="56">
        <v>1</v>
      </c>
      <c r="P18" s="56">
        <f t="shared" si="2"/>
        <v>0</v>
      </c>
      <c r="Q18" s="50">
        <f t="shared" si="23"/>
        <v>0</v>
      </c>
      <c r="R18" s="50">
        <f t="shared" si="24"/>
        <v>0</v>
      </c>
      <c r="S18" s="56">
        <v>31</v>
      </c>
      <c r="T18" s="56">
        <v>1</v>
      </c>
      <c r="U18" s="56">
        <f t="shared" si="3"/>
        <v>0</v>
      </c>
      <c r="V18" s="50">
        <f t="shared" si="25"/>
        <v>0</v>
      </c>
      <c r="W18" s="50">
        <f t="shared" si="26"/>
        <v>0</v>
      </c>
      <c r="X18" s="56">
        <v>31</v>
      </c>
      <c r="Y18" s="56">
        <v>1</v>
      </c>
      <c r="Z18" s="56">
        <f t="shared" si="4"/>
        <v>0</v>
      </c>
      <c r="AA18" s="50">
        <f t="shared" si="27"/>
        <v>0</v>
      </c>
      <c r="AB18" s="50">
        <f t="shared" si="28"/>
        <v>0</v>
      </c>
      <c r="AC18" s="56">
        <v>31</v>
      </c>
      <c r="AD18" s="56">
        <v>1</v>
      </c>
      <c r="AE18" s="56">
        <f t="shared" si="5"/>
        <v>0</v>
      </c>
      <c r="AF18" s="50">
        <f t="shared" si="6"/>
        <v>0</v>
      </c>
      <c r="AG18" s="50">
        <f t="shared" si="29"/>
        <v>0</v>
      </c>
      <c r="AH18" s="56">
        <v>31</v>
      </c>
      <c r="AI18" s="56">
        <v>1</v>
      </c>
      <c r="AJ18" s="56">
        <f t="shared" si="7"/>
        <v>0</v>
      </c>
      <c r="AK18" s="50">
        <f t="shared" si="30"/>
        <v>0</v>
      </c>
      <c r="AL18" s="50">
        <f t="shared" si="31"/>
        <v>0</v>
      </c>
      <c r="AM18" s="56">
        <v>31</v>
      </c>
      <c r="AN18" s="56">
        <v>1</v>
      </c>
      <c r="AO18" s="56">
        <f t="shared" si="8"/>
        <v>0</v>
      </c>
      <c r="AP18" s="50">
        <f t="shared" si="32"/>
        <v>0</v>
      </c>
      <c r="AQ18" s="50">
        <f t="shared" si="33"/>
        <v>0</v>
      </c>
      <c r="AR18" s="56">
        <v>31</v>
      </c>
      <c r="AS18" s="56">
        <v>1</v>
      </c>
      <c r="AT18" s="56">
        <f t="shared" si="9"/>
        <v>0</v>
      </c>
      <c r="AU18" s="50">
        <f t="shared" si="34"/>
        <v>0</v>
      </c>
      <c r="AV18" s="50">
        <f t="shared" si="35"/>
        <v>0</v>
      </c>
      <c r="AW18" s="56">
        <v>31</v>
      </c>
      <c r="AX18" s="56">
        <v>1</v>
      </c>
      <c r="AY18" s="56">
        <f t="shared" si="10"/>
        <v>0</v>
      </c>
      <c r="AZ18" s="50">
        <f t="shared" si="36"/>
        <v>0</v>
      </c>
      <c r="BA18" s="50">
        <f t="shared" si="37"/>
        <v>0</v>
      </c>
      <c r="BB18" s="56">
        <v>31</v>
      </c>
      <c r="BC18" s="56">
        <v>1</v>
      </c>
      <c r="BD18" s="56">
        <f t="shared" si="11"/>
        <v>0</v>
      </c>
      <c r="BE18" s="50">
        <f t="shared" si="38"/>
        <v>0</v>
      </c>
      <c r="BF18" s="50">
        <f t="shared" si="39"/>
        <v>0</v>
      </c>
      <c r="BG18" s="56">
        <v>31</v>
      </c>
      <c r="BH18" s="56">
        <v>1</v>
      </c>
      <c r="BI18" s="56">
        <f t="shared" si="12"/>
        <v>0</v>
      </c>
      <c r="BJ18" s="50">
        <f t="shared" si="40"/>
        <v>0</v>
      </c>
      <c r="BK18" s="50">
        <f t="shared" si="41"/>
        <v>0</v>
      </c>
      <c r="BL18" s="56">
        <v>31</v>
      </c>
      <c r="BM18" s="56">
        <v>1</v>
      </c>
      <c r="BN18" s="56">
        <f t="shared" si="13"/>
        <v>0</v>
      </c>
      <c r="BO18" s="50">
        <f t="shared" si="42"/>
        <v>0</v>
      </c>
      <c r="BP18" s="50">
        <f t="shared" si="43"/>
        <v>0</v>
      </c>
      <c r="BQ18" s="56">
        <v>31</v>
      </c>
      <c r="BR18" s="56">
        <v>1</v>
      </c>
      <c r="BS18" s="56">
        <f t="shared" si="14"/>
        <v>0</v>
      </c>
      <c r="BT18" s="50">
        <f t="shared" si="44"/>
        <v>0</v>
      </c>
      <c r="BU18" s="50">
        <f t="shared" si="45"/>
        <v>0</v>
      </c>
      <c r="BV18" s="56">
        <v>31</v>
      </c>
      <c r="BW18" s="56">
        <v>1</v>
      </c>
      <c r="BX18" s="56">
        <f t="shared" si="15"/>
        <v>0</v>
      </c>
      <c r="BY18" s="50">
        <f t="shared" si="46"/>
        <v>0</v>
      </c>
      <c r="BZ18" s="50">
        <f t="shared" si="47"/>
        <v>0</v>
      </c>
      <c r="CA18" s="56">
        <v>31</v>
      </c>
      <c r="CB18" s="56">
        <v>1</v>
      </c>
      <c r="CC18" s="56">
        <f t="shared" si="16"/>
        <v>0</v>
      </c>
      <c r="CD18" s="50">
        <f t="shared" si="48"/>
        <v>0</v>
      </c>
      <c r="CE18" s="50">
        <f t="shared" si="49"/>
        <v>0</v>
      </c>
      <c r="CF18" s="56">
        <v>31</v>
      </c>
      <c r="CG18" s="56">
        <v>1</v>
      </c>
      <c r="CH18" s="56">
        <f t="shared" si="17"/>
        <v>0</v>
      </c>
      <c r="CI18" s="50">
        <f t="shared" si="50"/>
        <v>0</v>
      </c>
      <c r="CJ18" s="50">
        <f t="shared" si="51"/>
        <v>0</v>
      </c>
      <c r="CK18" s="56">
        <v>31</v>
      </c>
      <c r="CL18" s="56">
        <v>1</v>
      </c>
      <c r="CM18" s="56">
        <f t="shared" si="18"/>
        <v>0</v>
      </c>
      <c r="CN18" s="50">
        <f t="shared" si="52"/>
        <v>0</v>
      </c>
      <c r="CO18" s="50">
        <f t="shared" si="53"/>
        <v>0</v>
      </c>
    </row>
    <row r="19" spans="3:93" x14ac:dyDescent="0.75">
      <c r="C19" s="49" t="s">
        <v>77</v>
      </c>
      <c r="D19" s="56">
        <v>30</v>
      </c>
      <c r="E19" s="56">
        <v>1</v>
      </c>
      <c r="F19" s="56">
        <f t="shared" si="0"/>
        <v>0</v>
      </c>
      <c r="G19" s="50">
        <f t="shared" si="19"/>
        <v>0</v>
      </c>
      <c r="H19" s="50">
        <f t="shared" si="20"/>
        <v>0</v>
      </c>
      <c r="I19" s="56">
        <v>30</v>
      </c>
      <c r="J19" s="56">
        <v>1</v>
      </c>
      <c r="K19" s="56">
        <f t="shared" si="1"/>
        <v>0</v>
      </c>
      <c r="L19" s="50">
        <f t="shared" si="21"/>
        <v>0</v>
      </c>
      <c r="M19" s="50">
        <f t="shared" si="22"/>
        <v>0</v>
      </c>
      <c r="N19" s="56">
        <v>30</v>
      </c>
      <c r="O19" s="56">
        <v>1</v>
      </c>
      <c r="P19" s="56">
        <f t="shared" si="2"/>
        <v>0</v>
      </c>
      <c r="Q19" s="50">
        <f t="shared" si="23"/>
        <v>0</v>
      </c>
      <c r="R19" s="50">
        <f t="shared" si="24"/>
        <v>0</v>
      </c>
      <c r="S19" s="56">
        <v>30</v>
      </c>
      <c r="T19" s="56">
        <v>1</v>
      </c>
      <c r="U19" s="56">
        <f t="shared" si="3"/>
        <v>0</v>
      </c>
      <c r="V19" s="50">
        <f t="shared" si="25"/>
        <v>0</v>
      </c>
      <c r="W19" s="50">
        <f t="shared" si="26"/>
        <v>0</v>
      </c>
      <c r="X19" s="56">
        <v>30</v>
      </c>
      <c r="Y19" s="56">
        <v>1</v>
      </c>
      <c r="Z19" s="56">
        <f t="shared" si="4"/>
        <v>0</v>
      </c>
      <c r="AA19" s="50">
        <f t="shared" si="27"/>
        <v>0</v>
      </c>
      <c r="AB19" s="50">
        <f t="shared" si="28"/>
        <v>0</v>
      </c>
      <c r="AC19" s="56">
        <v>30</v>
      </c>
      <c r="AD19" s="56">
        <v>1</v>
      </c>
      <c r="AE19" s="56">
        <f t="shared" si="5"/>
        <v>0</v>
      </c>
      <c r="AF19" s="50">
        <f t="shared" si="6"/>
        <v>0</v>
      </c>
      <c r="AG19" s="50">
        <f t="shared" si="29"/>
        <v>0</v>
      </c>
      <c r="AH19" s="56">
        <v>30</v>
      </c>
      <c r="AI19" s="56">
        <v>1</v>
      </c>
      <c r="AJ19" s="56">
        <f t="shared" si="7"/>
        <v>0</v>
      </c>
      <c r="AK19" s="50">
        <f t="shared" si="30"/>
        <v>0</v>
      </c>
      <c r="AL19" s="50">
        <f t="shared" si="31"/>
        <v>0</v>
      </c>
      <c r="AM19" s="56">
        <v>30</v>
      </c>
      <c r="AN19" s="56">
        <v>1</v>
      </c>
      <c r="AO19" s="56">
        <f t="shared" si="8"/>
        <v>0</v>
      </c>
      <c r="AP19" s="50">
        <f t="shared" si="32"/>
        <v>0</v>
      </c>
      <c r="AQ19" s="50">
        <f t="shared" si="33"/>
        <v>0</v>
      </c>
      <c r="AR19" s="56">
        <v>30</v>
      </c>
      <c r="AS19" s="56">
        <v>1</v>
      </c>
      <c r="AT19" s="56">
        <f t="shared" si="9"/>
        <v>0</v>
      </c>
      <c r="AU19" s="50">
        <f t="shared" si="34"/>
        <v>0</v>
      </c>
      <c r="AV19" s="50">
        <f t="shared" si="35"/>
        <v>0</v>
      </c>
      <c r="AW19" s="56">
        <v>30</v>
      </c>
      <c r="AX19" s="56">
        <v>1</v>
      </c>
      <c r="AY19" s="56">
        <f t="shared" si="10"/>
        <v>0</v>
      </c>
      <c r="AZ19" s="50">
        <f t="shared" si="36"/>
        <v>0</v>
      </c>
      <c r="BA19" s="50">
        <f t="shared" si="37"/>
        <v>0</v>
      </c>
      <c r="BB19" s="56">
        <v>30</v>
      </c>
      <c r="BC19" s="56">
        <v>1</v>
      </c>
      <c r="BD19" s="56">
        <f t="shared" si="11"/>
        <v>0</v>
      </c>
      <c r="BE19" s="50">
        <f t="shared" si="38"/>
        <v>0</v>
      </c>
      <c r="BF19" s="50">
        <f t="shared" si="39"/>
        <v>0</v>
      </c>
      <c r="BG19" s="56">
        <v>30</v>
      </c>
      <c r="BH19" s="56">
        <v>1</v>
      </c>
      <c r="BI19" s="56">
        <f t="shared" si="12"/>
        <v>0</v>
      </c>
      <c r="BJ19" s="50">
        <f t="shared" si="40"/>
        <v>0</v>
      </c>
      <c r="BK19" s="50">
        <f t="shared" si="41"/>
        <v>0</v>
      </c>
      <c r="BL19" s="56">
        <v>30</v>
      </c>
      <c r="BM19" s="56">
        <v>1</v>
      </c>
      <c r="BN19" s="56">
        <f t="shared" si="13"/>
        <v>0</v>
      </c>
      <c r="BO19" s="50">
        <f t="shared" si="42"/>
        <v>0</v>
      </c>
      <c r="BP19" s="50">
        <f t="shared" si="43"/>
        <v>0</v>
      </c>
      <c r="BQ19" s="56">
        <v>30</v>
      </c>
      <c r="BR19" s="56">
        <v>1</v>
      </c>
      <c r="BS19" s="56">
        <f t="shared" si="14"/>
        <v>0</v>
      </c>
      <c r="BT19" s="50">
        <f t="shared" si="44"/>
        <v>0</v>
      </c>
      <c r="BU19" s="50">
        <f t="shared" si="45"/>
        <v>0</v>
      </c>
      <c r="BV19" s="56">
        <v>30</v>
      </c>
      <c r="BW19" s="56">
        <v>1</v>
      </c>
      <c r="BX19" s="56">
        <f t="shared" si="15"/>
        <v>0</v>
      </c>
      <c r="BY19" s="50">
        <f t="shared" si="46"/>
        <v>0</v>
      </c>
      <c r="BZ19" s="50">
        <f t="shared" si="47"/>
        <v>0</v>
      </c>
      <c r="CA19" s="56">
        <v>30</v>
      </c>
      <c r="CB19" s="56">
        <v>1</v>
      </c>
      <c r="CC19" s="56">
        <f t="shared" si="16"/>
        <v>0</v>
      </c>
      <c r="CD19" s="50">
        <f t="shared" si="48"/>
        <v>0</v>
      </c>
      <c r="CE19" s="50">
        <f t="shared" si="49"/>
        <v>0</v>
      </c>
      <c r="CF19" s="56">
        <v>30</v>
      </c>
      <c r="CG19" s="56">
        <v>1</v>
      </c>
      <c r="CH19" s="56">
        <f t="shared" si="17"/>
        <v>0</v>
      </c>
      <c r="CI19" s="50">
        <f t="shared" si="50"/>
        <v>0</v>
      </c>
      <c r="CJ19" s="50">
        <f t="shared" si="51"/>
        <v>0</v>
      </c>
      <c r="CK19" s="56">
        <v>30</v>
      </c>
      <c r="CL19" s="56">
        <v>1</v>
      </c>
      <c r="CM19" s="56">
        <f t="shared" si="18"/>
        <v>0</v>
      </c>
      <c r="CN19" s="50">
        <f t="shared" si="52"/>
        <v>0</v>
      </c>
      <c r="CO19" s="50">
        <f t="shared" si="53"/>
        <v>0</v>
      </c>
    </row>
    <row r="20" spans="3:93" x14ac:dyDescent="0.75">
      <c r="C20" s="49" t="s">
        <v>78</v>
      </c>
      <c r="D20" s="56">
        <v>31</v>
      </c>
      <c r="E20" s="56">
        <v>1</v>
      </c>
      <c r="F20" s="56">
        <f t="shared" si="0"/>
        <v>0</v>
      </c>
      <c r="G20" s="50">
        <f t="shared" si="19"/>
        <v>0</v>
      </c>
      <c r="H20" s="50">
        <f t="shared" si="20"/>
        <v>0</v>
      </c>
      <c r="I20" s="56">
        <v>31</v>
      </c>
      <c r="J20" s="56">
        <v>1</v>
      </c>
      <c r="K20" s="56">
        <f t="shared" si="1"/>
        <v>0</v>
      </c>
      <c r="L20" s="50">
        <f t="shared" si="21"/>
        <v>0</v>
      </c>
      <c r="M20" s="50">
        <f t="shared" si="22"/>
        <v>0</v>
      </c>
      <c r="N20" s="56">
        <v>31</v>
      </c>
      <c r="O20" s="56">
        <v>1</v>
      </c>
      <c r="P20" s="56">
        <f t="shared" si="2"/>
        <v>0</v>
      </c>
      <c r="Q20" s="50">
        <f t="shared" si="23"/>
        <v>0</v>
      </c>
      <c r="R20" s="50">
        <f t="shared" si="24"/>
        <v>0</v>
      </c>
      <c r="S20" s="56">
        <v>31</v>
      </c>
      <c r="T20" s="56">
        <v>1</v>
      </c>
      <c r="U20" s="56">
        <f t="shared" si="3"/>
        <v>0</v>
      </c>
      <c r="V20" s="50">
        <f t="shared" si="25"/>
        <v>0</v>
      </c>
      <c r="W20" s="50">
        <f t="shared" si="26"/>
        <v>0</v>
      </c>
      <c r="X20" s="56">
        <v>31</v>
      </c>
      <c r="Y20" s="56">
        <v>1</v>
      </c>
      <c r="Z20" s="56">
        <f t="shared" si="4"/>
        <v>0</v>
      </c>
      <c r="AA20" s="50">
        <f t="shared" si="27"/>
        <v>0</v>
      </c>
      <c r="AB20" s="50">
        <f t="shared" si="28"/>
        <v>0</v>
      </c>
      <c r="AC20" s="56">
        <v>31</v>
      </c>
      <c r="AD20" s="56">
        <v>1</v>
      </c>
      <c r="AE20" s="56">
        <f t="shared" si="5"/>
        <v>0</v>
      </c>
      <c r="AF20" s="50">
        <f t="shared" si="6"/>
        <v>0</v>
      </c>
      <c r="AG20" s="50">
        <f t="shared" si="29"/>
        <v>0</v>
      </c>
      <c r="AH20" s="56">
        <v>31</v>
      </c>
      <c r="AI20" s="56">
        <v>1</v>
      </c>
      <c r="AJ20" s="56">
        <f t="shared" si="7"/>
        <v>0</v>
      </c>
      <c r="AK20" s="50">
        <f t="shared" si="30"/>
        <v>0</v>
      </c>
      <c r="AL20" s="50">
        <f t="shared" si="31"/>
        <v>0</v>
      </c>
      <c r="AM20" s="56">
        <v>31</v>
      </c>
      <c r="AN20" s="56">
        <v>1</v>
      </c>
      <c r="AO20" s="56">
        <f t="shared" si="8"/>
        <v>0</v>
      </c>
      <c r="AP20" s="50">
        <f t="shared" si="32"/>
        <v>0</v>
      </c>
      <c r="AQ20" s="50">
        <f t="shared" si="33"/>
        <v>0</v>
      </c>
      <c r="AR20" s="56">
        <v>31</v>
      </c>
      <c r="AS20" s="56">
        <v>1</v>
      </c>
      <c r="AT20" s="56">
        <f t="shared" si="9"/>
        <v>0</v>
      </c>
      <c r="AU20" s="50">
        <f t="shared" si="34"/>
        <v>0</v>
      </c>
      <c r="AV20" s="50">
        <f t="shared" si="35"/>
        <v>0</v>
      </c>
      <c r="AW20" s="56">
        <v>31</v>
      </c>
      <c r="AX20" s="56">
        <v>1</v>
      </c>
      <c r="AY20" s="56">
        <f t="shared" si="10"/>
        <v>0</v>
      </c>
      <c r="AZ20" s="50">
        <f t="shared" si="36"/>
        <v>0</v>
      </c>
      <c r="BA20" s="50">
        <f t="shared" si="37"/>
        <v>0</v>
      </c>
      <c r="BB20" s="56">
        <v>31</v>
      </c>
      <c r="BC20" s="56">
        <v>1</v>
      </c>
      <c r="BD20" s="56">
        <f t="shared" si="11"/>
        <v>0</v>
      </c>
      <c r="BE20" s="50">
        <f t="shared" si="38"/>
        <v>0</v>
      </c>
      <c r="BF20" s="50">
        <f t="shared" si="39"/>
        <v>0</v>
      </c>
      <c r="BG20" s="56">
        <v>31</v>
      </c>
      <c r="BH20" s="56">
        <v>1</v>
      </c>
      <c r="BI20" s="56">
        <f t="shared" si="12"/>
        <v>0</v>
      </c>
      <c r="BJ20" s="50">
        <f t="shared" si="40"/>
        <v>0</v>
      </c>
      <c r="BK20" s="50">
        <f t="shared" si="41"/>
        <v>0</v>
      </c>
      <c r="BL20" s="56">
        <v>31</v>
      </c>
      <c r="BM20" s="56">
        <v>1</v>
      </c>
      <c r="BN20" s="56">
        <f t="shared" si="13"/>
        <v>0</v>
      </c>
      <c r="BO20" s="50">
        <f t="shared" si="42"/>
        <v>0</v>
      </c>
      <c r="BP20" s="50">
        <f t="shared" si="43"/>
        <v>0</v>
      </c>
      <c r="BQ20" s="56">
        <v>31</v>
      </c>
      <c r="BR20" s="56">
        <v>1</v>
      </c>
      <c r="BS20" s="56">
        <f t="shared" si="14"/>
        <v>0</v>
      </c>
      <c r="BT20" s="50">
        <f t="shared" si="44"/>
        <v>0</v>
      </c>
      <c r="BU20" s="50">
        <f t="shared" si="45"/>
        <v>0</v>
      </c>
      <c r="BV20" s="56">
        <v>31</v>
      </c>
      <c r="BW20" s="56">
        <v>1</v>
      </c>
      <c r="BX20" s="56">
        <f t="shared" si="15"/>
        <v>0</v>
      </c>
      <c r="BY20" s="50">
        <f t="shared" si="46"/>
        <v>0</v>
      </c>
      <c r="BZ20" s="50">
        <f t="shared" si="47"/>
        <v>0</v>
      </c>
      <c r="CA20" s="56">
        <v>31</v>
      </c>
      <c r="CB20" s="56">
        <v>1</v>
      </c>
      <c r="CC20" s="56">
        <f t="shared" si="16"/>
        <v>0</v>
      </c>
      <c r="CD20" s="50">
        <f t="shared" si="48"/>
        <v>0</v>
      </c>
      <c r="CE20" s="50">
        <f t="shared" si="49"/>
        <v>0</v>
      </c>
      <c r="CF20" s="56">
        <v>31</v>
      </c>
      <c r="CG20" s="56">
        <v>1</v>
      </c>
      <c r="CH20" s="56">
        <f t="shared" si="17"/>
        <v>0</v>
      </c>
      <c r="CI20" s="50">
        <f t="shared" si="50"/>
        <v>0</v>
      </c>
      <c r="CJ20" s="50">
        <f t="shared" si="51"/>
        <v>0</v>
      </c>
      <c r="CK20" s="56">
        <v>31</v>
      </c>
      <c r="CL20" s="56">
        <v>1</v>
      </c>
      <c r="CM20" s="56">
        <f t="shared" si="18"/>
        <v>0</v>
      </c>
      <c r="CN20" s="50">
        <f t="shared" si="52"/>
        <v>0</v>
      </c>
      <c r="CO20" s="50">
        <f t="shared" si="53"/>
        <v>0</v>
      </c>
    </row>
    <row r="21" spans="3:93" x14ac:dyDescent="0.75">
      <c r="C21" s="40" t="s">
        <v>118</v>
      </c>
      <c r="D21" s="30"/>
      <c r="E21" s="30"/>
      <c r="F21" s="92" t="b">
        <v>0</v>
      </c>
      <c r="G21" s="101">
        <f>SUM(G9:G20)</f>
        <v>0</v>
      </c>
      <c r="H21" s="101"/>
      <c r="I21" s="101"/>
      <c r="J21" s="101"/>
      <c r="K21" s="102" t="b">
        <v>0</v>
      </c>
      <c r="L21" s="101">
        <f>SUM(L9:L20)</f>
        <v>0</v>
      </c>
      <c r="M21" s="101"/>
      <c r="N21" s="101"/>
      <c r="O21" s="101"/>
      <c r="P21" s="102" t="b">
        <v>0</v>
      </c>
      <c r="Q21" s="101">
        <f>SUM(Q9:Q20)</f>
        <v>0</v>
      </c>
      <c r="R21" s="101"/>
      <c r="S21" s="101"/>
      <c r="T21" s="101"/>
      <c r="U21" s="102" t="b">
        <v>0</v>
      </c>
      <c r="V21" s="101">
        <f>SUM(V9:V20)</f>
        <v>0</v>
      </c>
      <c r="W21" s="101"/>
      <c r="X21" s="101"/>
      <c r="Y21" s="101"/>
      <c r="Z21" s="102" t="b">
        <v>0</v>
      </c>
      <c r="AA21" s="101">
        <f>SUM(AA9:AA20)</f>
        <v>0</v>
      </c>
      <c r="AB21" s="101"/>
      <c r="AC21" s="101"/>
      <c r="AD21" s="101"/>
      <c r="AE21" s="102" t="b">
        <v>0</v>
      </c>
      <c r="AF21" s="101">
        <f>SUM(AF9:AF20)</f>
        <v>0</v>
      </c>
      <c r="AG21" s="101"/>
      <c r="AH21" s="101"/>
      <c r="AI21" s="101"/>
      <c r="AJ21" s="103" t="b">
        <v>0</v>
      </c>
      <c r="AK21" s="101">
        <f>SUM(AK9:AK20)</f>
        <v>0</v>
      </c>
      <c r="AL21" s="101"/>
      <c r="AM21" s="101"/>
      <c r="AN21" s="101"/>
      <c r="AO21" s="103" t="b">
        <v>0</v>
      </c>
      <c r="AP21" s="101">
        <f>SUM(AP9:AP20)</f>
        <v>0</v>
      </c>
      <c r="AQ21" s="101"/>
      <c r="AR21" s="101"/>
      <c r="AS21" s="101"/>
      <c r="AT21" s="103" t="b">
        <v>0</v>
      </c>
      <c r="AU21" s="101">
        <f>SUM(AU9:AU20)</f>
        <v>0</v>
      </c>
      <c r="AV21" s="101"/>
      <c r="AW21" s="101"/>
      <c r="AX21" s="101"/>
      <c r="AY21" s="103" t="b">
        <v>0</v>
      </c>
      <c r="AZ21" s="101">
        <f>SUM(AZ9:AZ20)</f>
        <v>0</v>
      </c>
      <c r="BA21" s="101"/>
      <c r="BB21" s="101"/>
      <c r="BC21" s="101"/>
      <c r="BD21" s="103" t="b">
        <v>0</v>
      </c>
      <c r="BE21" s="101">
        <f>SUM(BE9:BE20)</f>
        <v>0</v>
      </c>
      <c r="BF21" s="101"/>
      <c r="BG21" s="101"/>
      <c r="BH21" s="101"/>
      <c r="BI21" s="103" t="b">
        <v>0</v>
      </c>
      <c r="BJ21" s="101">
        <f>SUM(BJ9:BJ20)</f>
        <v>0</v>
      </c>
      <c r="BK21" s="101"/>
      <c r="BL21" s="101"/>
      <c r="BM21" s="101"/>
      <c r="BN21" s="103" t="b">
        <v>0</v>
      </c>
      <c r="BO21" s="101">
        <f>SUM(BO9:BO20)</f>
        <v>0</v>
      </c>
      <c r="BP21" s="52"/>
      <c r="BQ21" s="101"/>
      <c r="BR21" s="101"/>
      <c r="BS21" s="103" t="b">
        <v>0</v>
      </c>
      <c r="BT21" s="101">
        <f>SUM(BT9:BT20)</f>
        <v>0</v>
      </c>
      <c r="BU21" s="52"/>
      <c r="BV21" s="101"/>
      <c r="BW21" s="101"/>
      <c r="BX21" s="103" t="b">
        <v>0</v>
      </c>
      <c r="BY21" s="101">
        <f>SUM(BY9:BY20)</f>
        <v>0</v>
      </c>
      <c r="BZ21" s="52"/>
      <c r="CA21" s="101"/>
      <c r="CB21" s="101"/>
      <c r="CC21" s="103" t="b">
        <v>0</v>
      </c>
      <c r="CD21" s="101">
        <f>SUM(CD9:CD20)</f>
        <v>0</v>
      </c>
      <c r="CE21" s="52"/>
      <c r="CF21" s="101"/>
      <c r="CG21" s="101"/>
      <c r="CH21" s="103" t="b">
        <v>0</v>
      </c>
      <c r="CI21" s="101">
        <f>SUM(CI9:CI20)</f>
        <v>0</v>
      </c>
      <c r="CJ21" s="52"/>
      <c r="CK21" s="101"/>
      <c r="CL21" s="101"/>
      <c r="CM21" s="103" t="b">
        <v>0</v>
      </c>
      <c r="CN21" s="101">
        <f>SUM(CN9:CN20)</f>
        <v>0</v>
      </c>
      <c r="CO21" s="52"/>
    </row>
    <row r="22" spans="3:93" ht="15" customHeight="1" thickBot="1" x14ac:dyDescent="0.9">
      <c r="C22" s="40" t="s">
        <v>119</v>
      </c>
      <c r="D22" s="30"/>
      <c r="E22" s="30"/>
      <c r="F22" s="30"/>
      <c r="G22" s="32">
        <f>SUM(H9:H20)</f>
        <v>0</v>
      </c>
      <c r="H22" s="52"/>
      <c r="I22" s="30"/>
      <c r="J22" s="30"/>
      <c r="K22" s="30"/>
      <c r="L22" s="32">
        <f>SUM(M9:M20)</f>
        <v>0</v>
      </c>
      <c r="M22" s="52"/>
      <c r="N22" s="30"/>
      <c r="O22" s="30"/>
      <c r="P22" s="30"/>
      <c r="Q22" s="32">
        <f>SUM(R9:R20)</f>
        <v>0</v>
      </c>
      <c r="R22" s="52"/>
      <c r="S22" s="30"/>
      <c r="T22" s="30"/>
      <c r="U22" s="30"/>
      <c r="V22" s="32">
        <f>SUM(W9:W20)</f>
        <v>0</v>
      </c>
      <c r="W22" s="52"/>
      <c r="X22" s="30"/>
      <c r="Y22" s="30"/>
      <c r="Z22" s="30"/>
      <c r="AA22" s="32">
        <f>SUM(AB9:AB20)</f>
        <v>0</v>
      </c>
      <c r="AB22" s="52"/>
      <c r="AC22" s="30"/>
      <c r="AD22" s="30"/>
      <c r="AE22" s="30"/>
      <c r="AF22" s="32">
        <f>SUM(AG9:AG20)</f>
        <v>0</v>
      </c>
      <c r="AG22" s="52"/>
      <c r="AH22" s="30"/>
      <c r="AI22" s="30"/>
      <c r="AJ22" s="30"/>
      <c r="AK22" s="32">
        <f>SUM(AL9:AL20)</f>
        <v>0</v>
      </c>
      <c r="AL22" s="52"/>
      <c r="AM22" s="30"/>
      <c r="AN22" s="30"/>
      <c r="AO22" s="30"/>
      <c r="AP22" s="32">
        <f>SUM(AQ9:AQ20)</f>
        <v>0</v>
      </c>
      <c r="AQ22" s="52"/>
      <c r="AR22" s="30"/>
      <c r="AS22" s="30"/>
      <c r="AT22" s="30"/>
      <c r="AU22" s="32">
        <f>SUM(AV9:AV20)</f>
        <v>0</v>
      </c>
      <c r="AV22" s="52"/>
      <c r="AW22" s="30"/>
      <c r="AX22" s="30"/>
      <c r="AY22" s="30"/>
      <c r="AZ22" s="32">
        <f>SUM(BA9:BA20)</f>
        <v>0</v>
      </c>
      <c r="BA22" s="52"/>
      <c r="BB22" s="30"/>
      <c r="BC22" s="30"/>
      <c r="BD22" s="30"/>
      <c r="BE22" s="32">
        <f>SUM(BF9:BF20)</f>
        <v>0</v>
      </c>
      <c r="BF22" s="52"/>
      <c r="BG22" s="30"/>
      <c r="BH22" s="30"/>
      <c r="BI22" s="30"/>
      <c r="BJ22" s="32">
        <f>SUM(BK9:BK20)</f>
        <v>0</v>
      </c>
      <c r="BK22" s="52"/>
      <c r="BL22" s="30"/>
      <c r="BM22" s="30"/>
      <c r="BN22" s="30"/>
      <c r="BO22" s="32">
        <f>SUM(BP9:BP20)</f>
        <v>0</v>
      </c>
      <c r="BP22" s="52"/>
      <c r="BQ22" s="30"/>
      <c r="BR22" s="30"/>
      <c r="BS22" s="30"/>
      <c r="BT22" s="32">
        <f>SUM(BU9:BU20)</f>
        <v>0</v>
      </c>
      <c r="BU22" s="52"/>
      <c r="BV22" s="30"/>
      <c r="BW22" s="30"/>
      <c r="BX22" s="30"/>
      <c r="BY22" s="32">
        <f>SUM(BZ9:BZ20)</f>
        <v>0</v>
      </c>
      <c r="BZ22" s="52"/>
      <c r="CA22" s="30"/>
      <c r="CB22" s="30"/>
      <c r="CC22" s="30"/>
      <c r="CD22" s="32">
        <f>SUM(CE9:CE20)</f>
        <v>0</v>
      </c>
      <c r="CE22" s="52"/>
      <c r="CF22" s="30"/>
      <c r="CG22" s="30"/>
      <c r="CH22" s="30"/>
      <c r="CI22" s="32">
        <f>SUM(CJ9:CJ20)</f>
        <v>0</v>
      </c>
      <c r="CJ22" s="52"/>
      <c r="CK22" s="30"/>
      <c r="CL22" s="30"/>
      <c r="CM22" s="30"/>
      <c r="CN22" s="32">
        <f>SUM(CO9:CO20)</f>
        <v>0</v>
      </c>
      <c r="CO22" s="52"/>
    </row>
    <row r="23" spans="3:93" ht="15.5" thickTop="1" x14ac:dyDescent="0.75">
      <c r="C23" s="40" t="s">
        <v>82</v>
      </c>
      <c r="D23" s="51"/>
      <c r="E23" s="51"/>
      <c r="G23" s="51">
        <f>(D9*F9)+(D10*F10)+(D11*F11)+(D12*F12)+(D13*F13)+(D14*F14)+(D15*F15)+(D16*F16)+(D17*F17)+(D18*F18)+(D19*F19)+(D20*F20)</f>
        <v>0</v>
      </c>
      <c r="H23" s="51"/>
      <c r="I23" s="30"/>
      <c r="J23" s="30"/>
      <c r="K23" s="30"/>
      <c r="L23" s="51">
        <f>(I9*K9)+(I10*K10)+(I11*K11)+(I12*K12)+(I13*K13)+(I14*K14)+(I15*K15)+(I16*K16)+(I17*K17)+(I18*K18)+(I19*K19)+(I20*K20)</f>
        <v>0</v>
      </c>
      <c r="M23" s="51"/>
      <c r="N23" s="30"/>
      <c r="O23" s="30"/>
      <c r="P23" s="30"/>
      <c r="Q23" s="51">
        <f>(N9*P9)+(N10*P10)+(N11*P11)+(N12*P12)+(N13*P13)+(N14*P14)+(N15*P15)+(N16*P16)+(N17*P17)+(N18*P18)+(N19*P19)+(N20*P20)</f>
        <v>0</v>
      </c>
      <c r="R23" s="51"/>
      <c r="S23" s="30"/>
      <c r="T23" s="30"/>
      <c r="U23" s="30"/>
      <c r="V23" s="51">
        <f>(S9*U9)+(S10*U10)+(S11*U11)+(S12*U12)+(S13*U13)+(S14*U14)+(S15*U15)+(S16*U16)+(S17*U17)+(S18*U18)+(S19*U19)+(S20*U20)</f>
        <v>0</v>
      </c>
      <c r="W23" s="51"/>
      <c r="X23" s="30"/>
      <c r="Y23" s="30"/>
      <c r="Z23" s="30"/>
      <c r="AA23" s="51">
        <f>(X9*Z9)+(X10*Z10)+(X11*Z11)+(X12*Z12)+(X13*Z13)+(X14*Z14)+(X15*Z15)+(X16*Z16)+(X17*Z17)+(X18*Z18)+(X19*Z19)+(X20*Z20)</f>
        <v>0</v>
      </c>
      <c r="AB23" s="51"/>
      <c r="AC23" s="30"/>
      <c r="AD23" s="30"/>
      <c r="AE23" s="30" t="s">
        <v>24</v>
      </c>
      <c r="AF23" s="51">
        <f>(AC9*AE9)+(AC10*AE10)+(AC11*AE11)+(AC12*AE12)+(AC13*AE13)+(AC14*AE14)+(AC15*AE15)+(AC16*AE16)+(AC17*AE17)+(AC18*AE18)+(AC19*AE19)+(AC20*AE20)</f>
        <v>0</v>
      </c>
      <c r="AG23" s="51"/>
      <c r="AH23" s="30"/>
      <c r="AI23" s="30"/>
      <c r="AJ23" s="30"/>
      <c r="AK23" s="51">
        <f>(AH9*AJ9)+(AH10*AJ10)+(AH11*AJ11)+(AH12*AJ12)+(AH13*AJ13)+(AH14*AJ14)+(AH15*AJ15)+(AH16*AJ16)+(AH17*AJ17)+(AH18*AJ18)+(AH19*AJ19)+(AH20*AJ20)</f>
        <v>0</v>
      </c>
      <c r="AL23" s="51"/>
      <c r="AM23" s="30"/>
      <c r="AN23" s="30"/>
      <c r="AO23" s="30"/>
      <c r="AP23" s="51">
        <f>(AM9*AO9)+(AM10*AO10)+(AM11*AO11)+(AM12*AO12)+(AM13*AO13)+(AM14*AO14)+(AM15*AO15)+(AM16*AO16)+(AM17*AO17)+(AM18*AO18)+(AM19*AO19)+(AM20*AO20)</f>
        <v>0</v>
      </c>
      <c r="AQ23" s="51"/>
      <c r="AR23" s="30"/>
      <c r="AS23" s="30"/>
      <c r="AT23" s="30"/>
      <c r="AU23" s="51">
        <f>(AR9*AT9)+(AR10*AT10)+(AR11*AT11)+(AR12*AT12)+(AR13*AT13)+(AR14*AT14)+(AR15*AT15)+(AR16*AT16)+(AR17*AT17)+(AR18*AT18)+(AR19*AT19)+(AR20*AT20)</f>
        <v>0</v>
      </c>
      <c r="AV23" s="51"/>
      <c r="AW23" s="30"/>
      <c r="AX23" s="30"/>
      <c r="AY23" s="30"/>
      <c r="AZ23" s="51">
        <f>(AW9*AY9)+(AW10*AY10)+(AW11*AY11)+(AW12*AY12)+(AW13*AY13)+(AW14*AY14)+(AW15*AY15)+(AW16*AY16)+(AW17*AY17)+(AW18*AY18)+(AW19*AY19)+(AW20*AY20)</f>
        <v>0</v>
      </c>
      <c r="BA23" s="51"/>
      <c r="BB23" s="30"/>
      <c r="BC23" s="30"/>
      <c r="BD23" s="30"/>
      <c r="BE23" s="51">
        <f>(BB9*BD9)+(BB10*BD10)+(BB11*BD11)+(BB12*BD12)+(BB13*BD13)+(BB14*BD14)+(BB15*BD15)+(BB16*BD16)+(BB17*BD17)+(BB18*BD18)+(BB19*BD19)+(BB20*BD20)</f>
        <v>0</v>
      </c>
      <c r="BF23" s="51"/>
      <c r="BG23" s="30"/>
      <c r="BH23" s="30" t="s">
        <v>24</v>
      </c>
      <c r="BI23" s="30"/>
      <c r="BJ23" s="51">
        <f>(BG9*BI9)+(BG10*BI10)+(BG11*BI11)+(BG12*BI12)+(BG13*BI13)+(BG14*BI14)+(BG15*BI15)+(BG16*BI16)+(BG17*BI17)+(BG18*BI18)+(BG19*BI19)+(BG20*BI20)</f>
        <v>0</v>
      </c>
      <c r="BK23" s="51"/>
      <c r="BL23" s="30"/>
      <c r="BM23" s="30"/>
      <c r="BN23" s="30" t="s">
        <v>24</v>
      </c>
      <c r="BO23" s="51">
        <f>(BL9*BN9)+(BL10*BN10)+(BL11*BN11)+(BL12*BN12)+(BL13*BN13)+(BL14*BN14)+(BL15*BN15)+(BL16*BN16)+(BL17*BN17)+(BL18*BN18)+(BL19*BN19)+(BL20*BN20)</f>
        <v>0</v>
      </c>
      <c r="BP23" s="51"/>
      <c r="BQ23" s="30"/>
      <c r="BR23" s="30"/>
      <c r="BS23" s="30" t="s">
        <v>24</v>
      </c>
      <c r="BT23" s="51">
        <f>(BQ9*BS9)+(BQ10*BS10)+(BQ11*BS11)+(BQ12*BS12)+(BQ13*BS13)+(BQ14*BS14)+(BQ15*BS15)+(BQ16*BS16)+(BQ17*BS17)+(BQ18*BS18)+(BQ19*BS19)+(BQ20*BS20)</f>
        <v>0</v>
      </c>
      <c r="BU23" s="51"/>
      <c r="BV23" s="30"/>
      <c r="BW23" s="30"/>
      <c r="BX23" s="30" t="s">
        <v>24</v>
      </c>
      <c r="BY23" s="51">
        <f>(BV9*BX9)+(BV10*BX10)+(BV11*BX11)+(BV12*BX12)+(BV13*BX13)+(BV14*BX14)+(BV15*BX15)+(BV16*BX16)+(BV17*BX17)+(BV18*BX18)+(BV19*BX19)+(BV20*BX20)</f>
        <v>0</v>
      </c>
      <c r="BZ23" s="51"/>
      <c r="CA23" s="30"/>
      <c r="CB23" s="30"/>
      <c r="CC23" s="30" t="s">
        <v>24</v>
      </c>
      <c r="CD23" s="51">
        <f>(CA9*CC9)+(CA10*CC10)+(CA11*CC11)+(CA12*CC12)+(CA13*CC13)+(CA14*CC14)+(CA15*CC15)+(CA16*CC16)+(CA17*CC17)+(CA18*CC18)+(CA19*CC19)+(CA20*CC20)</f>
        <v>0</v>
      </c>
      <c r="CE23" s="51"/>
      <c r="CF23" s="30"/>
      <c r="CG23" s="30"/>
      <c r="CH23" s="30" t="s">
        <v>24</v>
      </c>
      <c r="CI23" s="51">
        <f>(CF9*CH9)+(CF10*CH10)+(CF11*CH11)+(CF12*CH12)+(CF13*CH13)+(CF14*CH14)+(CF15*CH15)+(CF16*CH16)+(CF17*CH17)+(CF18*CH18)+(CF19*CH19)+(CF20*CH20)</f>
        <v>0</v>
      </c>
      <c r="CJ23" s="51"/>
      <c r="CK23" s="30"/>
      <c r="CL23" s="30"/>
      <c r="CM23" s="30" t="s">
        <v>24</v>
      </c>
      <c r="CN23" s="51">
        <f>(CK9*CM9)+(CK10*CM10)+(CK11*CM11)+(CK12*CM12)+(CK13*CM13)+(CK14*CM14)+(CK15*CM15)+(CK16*CM16)+(CK17*CM17)+(CK18*CM18)+(CK19*CM19)+(CK20*CM20)</f>
        <v>0</v>
      </c>
      <c r="CO23" s="51"/>
    </row>
    <row r="24" spans="3:93" x14ac:dyDescent="0.75">
      <c r="C24" s="40"/>
      <c r="D24" s="51"/>
      <c r="E24" s="51"/>
      <c r="G24" s="51"/>
      <c r="H24" s="51"/>
      <c r="I24" s="30"/>
      <c r="J24" s="30"/>
      <c r="K24" s="30"/>
      <c r="L24" s="51"/>
      <c r="M24" s="51"/>
      <c r="N24" s="30"/>
      <c r="O24" s="30"/>
      <c r="P24" s="30"/>
      <c r="Q24" s="51"/>
      <c r="R24" s="51"/>
      <c r="S24" s="30"/>
      <c r="T24" s="30"/>
      <c r="U24" s="30"/>
      <c r="V24" s="51"/>
      <c r="W24" s="51"/>
      <c r="X24" s="30"/>
      <c r="Y24" s="30"/>
      <c r="Z24" s="30"/>
      <c r="AA24" s="51"/>
      <c r="AB24" s="51"/>
      <c r="AC24" s="30"/>
      <c r="AD24" s="30"/>
      <c r="AE24" s="30"/>
      <c r="AF24" s="51"/>
      <c r="AG24" s="51"/>
      <c r="AH24" s="30"/>
      <c r="AI24" s="30"/>
      <c r="AJ24" s="30"/>
      <c r="AK24" s="51"/>
      <c r="AL24" s="51"/>
      <c r="AM24" s="30"/>
      <c r="AN24" s="30"/>
      <c r="AO24" s="30"/>
      <c r="AP24" s="51"/>
      <c r="AQ24" s="51"/>
      <c r="AR24" s="30"/>
      <c r="AS24" s="30"/>
      <c r="AT24" s="30"/>
      <c r="AU24" s="51"/>
      <c r="AV24" s="51"/>
      <c r="AW24" s="30"/>
      <c r="AX24" s="30"/>
      <c r="AY24" s="30"/>
      <c r="AZ24" s="51"/>
      <c r="BA24" s="51"/>
      <c r="BB24" s="30"/>
      <c r="BC24" s="30"/>
      <c r="BD24" s="30"/>
      <c r="BE24" s="51"/>
      <c r="BF24" s="51"/>
      <c r="BG24" s="30"/>
      <c r="BH24" s="30"/>
      <c r="BI24" s="30"/>
      <c r="BJ24" s="51"/>
      <c r="BK24" s="51"/>
      <c r="BL24" s="30"/>
      <c r="BM24" s="30"/>
      <c r="BN24" s="30"/>
      <c r="BO24" s="51"/>
      <c r="BP24" s="51"/>
      <c r="BU24" s="51"/>
      <c r="BZ24" s="51"/>
      <c r="CE24" s="51"/>
      <c r="CJ24" s="51"/>
      <c r="CO24" s="51"/>
    </row>
    <row r="25" spans="3:93" ht="15" customHeight="1" x14ac:dyDescent="0.9">
      <c r="C25" s="40" t="s">
        <v>81</v>
      </c>
      <c r="D25" s="51"/>
      <c r="E25" s="51"/>
      <c r="G25" s="52">
        <f>G21+L21+AF21+AK21+AP21+AU21+AZ21+BE21+BJ21+BO21+Q21+V21+AA21+BT21+BY21+CD21+CI21+CN21</f>
        <v>0</v>
      </c>
      <c r="H25" s="52"/>
      <c r="I25" s="51"/>
      <c r="J25" s="51"/>
      <c r="K25" s="51"/>
      <c r="L25" s="30"/>
      <c r="M25" s="30"/>
      <c r="N25" s="51"/>
      <c r="O25" s="51"/>
      <c r="P25" s="51"/>
      <c r="Q25" s="30"/>
      <c r="R25" s="30"/>
      <c r="S25" s="51"/>
      <c r="T25" s="51"/>
      <c r="U25" s="51"/>
      <c r="V25" s="30"/>
      <c r="W25" s="30"/>
      <c r="X25" s="51"/>
      <c r="Y25" s="51"/>
      <c r="Z25" s="51"/>
      <c r="AA25" s="30"/>
      <c r="AB25" s="30"/>
      <c r="AC25" s="51"/>
      <c r="AD25" s="51"/>
      <c r="AE25" s="51"/>
      <c r="AF25" s="51"/>
      <c r="AG25" s="51"/>
      <c r="AH25" s="51"/>
      <c r="AI25" s="51"/>
      <c r="AJ25" s="51"/>
      <c r="AK25" s="51"/>
      <c r="AL25" s="51"/>
      <c r="AM25" s="51"/>
      <c r="AN25" s="51"/>
      <c r="AO25" s="30"/>
      <c r="AP25" s="30"/>
      <c r="AQ25" s="30"/>
      <c r="AR25" s="53"/>
      <c r="AS25" s="53"/>
      <c r="AT25" s="30"/>
      <c r="AU25" s="30"/>
      <c r="AV25" s="30"/>
      <c r="AW25" s="30"/>
      <c r="AX25" s="30"/>
      <c r="AY25" s="30"/>
      <c r="AZ25" s="30"/>
      <c r="BA25" s="30"/>
      <c r="BB25" s="40"/>
      <c r="BC25" s="54"/>
      <c r="BD25" s="54"/>
      <c r="BE25" s="54"/>
      <c r="BF25" s="54"/>
      <c r="BG25" s="54"/>
      <c r="BH25" s="54"/>
      <c r="BI25" s="54"/>
      <c r="BJ25" s="54"/>
      <c r="BK25" s="54"/>
      <c r="BL25" s="54"/>
      <c r="BM25" s="54"/>
      <c r="BN25" s="54"/>
      <c r="BO25" s="54"/>
      <c r="BP25" s="54"/>
      <c r="BU25" s="54"/>
      <c r="BZ25" s="54"/>
      <c r="CE25" s="54"/>
      <c r="CJ25" s="54"/>
      <c r="CO25" s="54"/>
    </row>
    <row r="26" spans="3:93" ht="15" customHeight="1" x14ac:dyDescent="0.9">
      <c r="C26" s="40" t="s">
        <v>120</v>
      </c>
      <c r="D26" s="51"/>
      <c r="E26" s="51"/>
      <c r="G26" s="52">
        <f>G22+L22+AF22+AK22+AP22+AU22+AZ22+BE22+BJ22+BO22+Q22+V22+AA22+BT22+BY22+CD22+CI22+CN22</f>
        <v>0</v>
      </c>
      <c r="H26" s="52"/>
      <c r="I26" s="51"/>
      <c r="J26" s="51"/>
      <c r="K26" s="51"/>
      <c r="L26" s="30"/>
      <c r="M26" s="30"/>
      <c r="N26" s="51"/>
      <c r="O26" s="51"/>
      <c r="P26" s="51"/>
      <c r="Q26" s="30"/>
      <c r="R26" s="30"/>
      <c r="S26" s="51"/>
      <c r="T26" s="51"/>
      <c r="U26" s="51"/>
      <c r="V26" s="30"/>
      <c r="W26" s="30"/>
      <c r="X26" s="51"/>
      <c r="Y26" s="51"/>
      <c r="Z26" s="51"/>
      <c r="AA26" s="30"/>
      <c r="AB26" s="30"/>
      <c r="AC26" s="51"/>
      <c r="AD26" s="51"/>
      <c r="AE26" s="51"/>
      <c r="AF26" s="51"/>
      <c r="AG26" s="51"/>
      <c r="AH26" s="51"/>
      <c r="AI26" s="51"/>
      <c r="AJ26" s="51"/>
      <c r="AK26" s="51"/>
      <c r="AL26" s="51"/>
      <c r="AM26" s="51"/>
      <c r="AN26" s="51"/>
      <c r="AO26" s="30"/>
      <c r="AP26" s="30"/>
      <c r="AQ26" s="30"/>
      <c r="AR26" s="53"/>
      <c r="AS26" s="53"/>
      <c r="AT26" s="30"/>
      <c r="AU26" s="30"/>
      <c r="AV26" s="30"/>
      <c r="AW26" s="30"/>
      <c r="AX26" s="30"/>
      <c r="AY26" s="30"/>
      <c r="AZ26" s="30"/>
      <c r="BA26" s="30"/>
      <c r="BB26" s="40"/>
      <c r="BC26" s="54"/>
      <c r="BD26" s="54"/>
      <c r="BE26" s="54"/>
      <c r="BF26" s="54"/>
      <c r="BG26" s="54"/>
      <c r="BH26" s="54"/>
      <c r="BI26" s="54"/>
      <c r="BJ26" s="54"/>
      <c r="BK26" s="54"/>
      <c r="BL26" s="54"/>
      <c r="BM26" s="54"/>
      <c r="BN26" s="54"/>
      <c r="BO26" s="54"/>
      <c r="BP26" s="54"/>
      <c r="BU26" s="54"/>
      <c r="BZ26" s="54"/>
      <c r="CE26" s="54"/>
      <c r="CJ26" s="54"/>
      <c r="CO26" s="54"/>
    </row>
    <row r="27" spans="3:93" x14ac:dyDescent="0.75">
      <c r="C27" s="40" t="s">
        <v>96</v>
      </c>
      <c r="D27" s="51"/>
      <c r="E27" s="51"/>
      <c r="G27" s="55">
        <f>G23+L23+AF23+AK23+AP23+AU23+AZ23+BE23+BJ23+BO23+Q23+V23+AA23+BT23+BY23+CD23+CI23+CN23</f>
        <v>0</v>
      </c>
      <c r="H27" s="55"/>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55"/>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U27" s="30"/>
      <c r="BZ27" s="30"/>
      <c r="CE27" s="30"/>
      <c r="CJ27" s="30"/>
      <c r="CO27" s="30"/>
    </row>
    <row r="28" spans="3:93" x14ac:dyDescent="0.75">
      <c r="C28" s="40" t="s">
        <v>97</v>
      </c>
      <c r="D28" s="51"/>
      <c r="E28" s="51"/>
      <c r="G28" s="55">
        <f>TRUNC(G27/7)</f>
        <v>0</v>
      </c>
      <c r="H28" s="55"/>
      <c r="I28" s="40"/>
      <c r="J28" s="30"/>
      <c r="K28" s="30"/>
      <c r="L28" s="30"/>
      <c r="M28" s="30"/>
      <c r="N28" s="40"/>
      <c r="O28" s="30"/>
      <c r="P28" s="30"/>
      <c r="Q28" s="30"/>
      <c r="R28" s="30"/>
      <c r="S28" s="40"/>
      <c r="T28" s="30"/>
      <c r="U28" s="30"/>
      <c r="V28" s="30"/>
      <c r="W28" s="30"/>
      <c r="X28" s="4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U28" s="30"/>
      <c r="BZ28" s="30"/>
      <c r="CE28" s="30"/>
      <c r="CJ28" s="30"/>
      <c r="CO28" s="30"/>
    </row>
    <row r="29" spans="3:93" x14ac:dyDescent="0.75">
      <c r="C29" s="51"/>
      <c r="D29" s="51"/>
      <c r="E29" s="51"/>
      <c r="F29" s="40"/>
      <c r="G29" s="55"/>
      <c r="H29" s="55"/>
      <c r="I29" s="40"/>
      <c r="J29" s="30"/>
      <c r="K29" s="30"/>
      <c r="L29" s="30"/>
      <c r="M29" s="30"/>
      <c r="N29" s="40"/>
      <c r="O29" s="30"/>
      <c r="P29" s="30"/>
      <c r="Q29" s="30"/>
      <c r="R29" s="30"/>
      <c r="S29" s="40"/>
      <c r="T29" s="30"/>
      <c r="U29" s="30"/>
      <c r="V29" s="30"/>
      <c r="W29" s="30"/>
      <c r="X29" s="4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U29" s="30"/>
      <c r="BZ29" s="30"/>
      <c r="CE29" s="30"/>
      <c r="CJ29" s="30"/>
      <c r="CO29" s="30"/>
    </row>
  </sheetData>
  <sheetProtection algorithmName="SHA-512" hashValue="rjfq8LvoHtjal3e6KWR8ynxR9rs4HfV1YLFjl2YhPRa3TeD8PGmUinogh7AXyiOHbz+UiLep3IlFQxuML6gElg==" saltValue="su15TD3d6vDM0pfhocxyTA==" spinCount="100000" sheet="1" objects="1" scenarios="1"/>
  <phoneticPr fontId="14" type="noConversion"/>
  <dataValidations count="2">
    <dataValidation type="whole" allowBlank="1" showInputMessage="1" showErrorMessage="1" error="Solo puede registrar valor 1 ó 2. _x000a__x000a_1 - Considera el Salario diario 1 para calcular el costo de modalidad 40_x000a__x000a_2 - Considera el Salario diario 2 para calcular el costo de modalidad 40" sqref="E9:E20 BM9:BM20 O9:O20 AI9:AI20 AN9:AN20 AS9:AS20 AX9:AX20 BC9:BC20 BH9:BH20 J9:J20 Y9:Y20 T9:T20 AD9:AD20 BR9:BR20 BW9:BW20 CB9:CB20 CG9:CG20 CL9:CL20" xr:uid="{00000000-0002-0000-0100-000000000000}">
      <formula1>1</formula1>
      <formula2>2</formula2>
    </dataValidation>
    <dataValidation type="whole" allowBlank="1" showInputMessage="1" showErrorMessage="1" error="Valores aceptados:_x000a__x000a_0 - Al colocar 0 en esta columna NO se calcula el mes correspondiente._x000a__x000a_1 - Al colocar 1 en esta columa SI se calcula el mes correspondiente._x000a_" sqref="BI9:BI20 BN9:BN20 BD9:BD20 U9:U20 AO9:AO20 Z9:Z20 AJ9:AJ20 F9:F20 P9:P20 AT9:AT20 K9:K20 AY9:AY20 CM9:CM20 BS9:BS20 BX9:BX20 CC9:CC20 CH9:CH20 AE9:AE20" xr:uid="{00000000-0002-0000-0100-000001000000}">
      <formula1>0</formula1>
      <formula2>1</formula2>
    </dataValidation>
  </dataValidations>
  <printOptions horizontalCentered="1" verticalCentered="1"/>
  <pageMargins left="0.39370078740157483" right="0.39370078740157483" top="0.39370078740157483" bottom="0.39370078740157483" header="0" footer="0"/>
  <pageSetup scale="30" orientation="portrait" r:id="rId1"/>
  <ignoredErrors>
    <ignoredError sqref="AT10:AT13 BD10:BD20 BI10:BI20 BN10:BN20 K9:K20 P10:P17 F9:F15 U10:U15 AH9:AI9 BL9:BN9 AJ9:AJ20 G9 I9:J9 S9:V9 X9:Y9 AC9:AD9 AK9 AM9:AN9 AR9:AU9 AW9:AX9 BB9:BE9 BG9:BJ9 AT14:AT20 U16:U20 P9:Q9 AA9 AF9 AZ9 AP9 L9 P18:P20 Z9:Z20 BS9:BS20 BX9:BX20 CC9:CC20 CH9:CH20 CM9:CM20 AO9:AO20 AY9:AY20 F16:F20 AE9:AE20" unlocked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5123" r:id="rId4" name="Check Box 3">
              <controlPr locked="0" defaultSize="0" autoFill="0" autoLine="0" autoPict="0" altText="_x000a_">
                <anchor moveWithCells="1">
                  <from>
                    <xdr:col>10</xdr:col>
                    <xdr:colOff>50800</xdr:colOff>
                    <xdr:row>3</xdr:row>
                    <xdr:rowOff>222250</xdr:rowOff>
                  </from>
                  <to>
                    <xdr:col>11</xdr:col>
                    <xdr:colOff>95250</xdr:colOff>
                    <xdr:row>5</xdr:row>
                    <xdr:rowOff>107950</xdr:rowOff>
                  </to>
                </anchor>
              </controlPr>
            </control>
          </mc:Choice>
        </mc:AlternateContent>
        <mc:AlternateContent xmlns:mc="http://schemas.openxmlformats.org/markup-compatibility/2006">
          <mc:Choice Requires="x14">
            <control shapeId="5126" r:id="rId5" name="Check Box 6">
              <controlPr locked="0" defaultSize="0" autoFill="0" autoLine="0" autoPict="0" altText="_x000a_">
                <anchor moveWithCells="1">
                  <from>
                    <xdr:col>30</xdr:col>
                    <xdr:colOff>31750</xdr:colOff>
                    <xdr:row>3</xdr:row>
                    <xdr:rowOff>222250</xdr:rowOff>
                  </from>
                  <to>
                    <xdr:col>31</xdr:col>
                    <xdr:colOff>88900</xdr:colOff>
                    <xdr:row>5</xdr:row>
                    <xdr:rowOff>107950</xdr:rowOff>
                  </to>
                </anchor>
              </controlPr>
            </control>
          </mc:Choice>
        </mc:AlternateContent>
        <mc:AlternateContent xmlns:mc="http://schemas.openxmlformats.org/markup-compatibility/2006">
          <mc:Choice Requires="x14">
            <control shapeId="5127" r:id="rId6" name="Check Box 7">
              <controlPr locked="0" defaultSize="0" autoFill="0" autoLine="0" autoPict="0" altText="_x000a_">
                <anchor moveWithCells="1">
                  <from>
                    <xdr:col>35</xdr:col>
                    <xdr:colOff>50800</xdr:colOff>
                    <xdr:row>3</xdr:row>
                    <xdr:rowOff>222250</xdr:rowOff>
                  </from>
                  <to>
                    <xdr:col>36</xdr:col>
                    <xdr:colOff>107950</xdr:colOff>
                    <xdr:row>5</xdr:row>
                    <xdr:rowOff>107950</xdr:rowOff>
                  </to>
                </anchor>
              </controlPr>
            </control>
          </mc:Choice>
        </mc:AlternateContent>
        <mc:AlternateContent xmlns:mc="http://schemas.openxmlformats.org/markup-compatibility/2006">
          <mc:Choice Requires="x14">
            <control shapeId="5128" r:id="rId7" name="Check Box 8">
              <controlPr locked="0" defaultSize="0" autoFill="0" autoLine="0" autoPict="0" altText="_x000a_">
                <anchor moveWithCells="1">
                  <from>
                    <xdr:col>40</xdr:col>
                    <xdr:colOff>50800</xdr:colOff>
                    <xdr:row>3</xdr:row>
                    <xdr:rowOff>222250</xdr:rowOff>
                  </from>
                  <to>
                    <xdr:col>41</xdr:col>
                    <xdr:colOff>107950</xdr:colOff>
                    <xdr:row>5</xdr:row>
                    <xdr:rowOff>95250</xdr:rowOff>
                  </to>
                </anchor>
              </controlPr>
            </control>
          </mc:Choice>
        </mc:AlternateContent>
        <mc:AlternateContent xmlns:mc="http://schemas.openxmlformats.org/markup-compatibility/2006">
          <mc:Choice Requires="x14">
            <control shapeId="5129" r:id="rId8" name="Check Box 9">
              <controlPr locked="0" defaultSize="0" autoFill="0" autoLine="0" autoPict="0" altText="_x000a_">
                <anchor moveWithCells="1">
                  <from>
                    <xdr:col>45</xdr:col>
                    <xdr:colOff>12700</xdr:colOff>
                    <xdr:row>3</xdr:row>
                    <xdr:rowOff>222250</xdr:rowOff>
                  </from>
                  <to>
                    <xdr:col>46</xdr:col>
                    <xdr:colOff>76200</xdr:colOff>
                    <xdr:row>5</xdr:row>
                    <xdr:rowOff>95250</xdr:rowOff>
                  </to>
                </anchor>
              </controlPr>
            </control>
          </mc:Choice>
        </mc:AlternateContent>
        <mc:AlternateContent xmlns:mc="http://schemas.openxmlformats.org/markup-compatibility/2006">
          <mc:Choice Requires="x14">
            <control shapeId="5130" r:id="rId9" name="Check Box 10">
              <controlPr locked="0" defaultSize="0" autoFill="0" autoLine="0" autoPict="0" altText="_x000a_">
                <anchor moveWithCells="1">
                  <from>
                    <xdr:col>50</xdr:col>
                    <xdr:colOff>12700</xdr:colOff>
                    <xdr:row>3</xdr:row>
                    <xdr:rowOff>222250</xdr:rowOff>
                  </from>
                  <to>
                    <xdr:col>51</xdr:col>
                    <xdr:colOff>76200</xdr:colOff>
                    <xdr:row>5</xdr:row>
                    <xdr:rowOff>95250</xdr:rowOff>
                  </to>
                </anchor>
              </controlPr>
            </control>
          </mc:Choice>
        </mc:AlternateContent>
        <mc:AlternateContent xmlns:mc="http://schemas.openxmlformats.org/markup-compatibility/2006">
          <mc:Choice Requires="x14">
            <control shapeId="5131" r:id="rId10" name="Check Box 11">
              <controlPr locked="0" defaultSize="0" autoFill="0" autoLine="0" autoPict="0" altText="_x000a_">
                <anchor moveWithCells="1">
                  <from>
                    <xdr:col>5</xdr:col>
                    <xdr:colOff>76200</xdr:colOff>
                    <xdr:row>3</xdr:row>
                    <xdr:rowOff>222250</xdr:rowOff>
                  </from>
                  <to>
                    <xdr:col>6</xdr:col>
                    <xdr:colOff>127000</xdr:colOff>
                    <xdr:row>5</xdr:row>
                    <xdr:rowOff>95250</xdr:rowOff>
                  </to>
                </anchor>
              </controlPr>
            </control>
          </mc:Choice>
        </mc:AlternateContent>
        <mc:AlternateContent xmlns:mc="http://schemas.openxmlformats.org/markup-compatibility/2006">
          <mc:Choice Requires="x14">
            <control shapeId="5132" r:id="rId11" name="Check Box 12">
              <controlPr locked="0" defaultSize="0" autoFill="0" autoLine="0" autoPict="0" altText="_x000a_">
                <anchor moveWithCells="1">
                  <from>
                    <xdr:col>55</xdr:col>
                    <xdr:colOff>19050</xdr:colOff>
                    <xdr:row>3</xdr:row>
                    <xdr:rowOff>222250</xdr:rowOff>
                  </from>
                  <to>
                    <xdr:col>56</xdr:col>
                    <xdr:colOff>76200</xdr:colOff>
                    <xdr:row>5</xdr:row>
                    <xdr:rowOff>95250</xdr:rowOff>
                  </to>
                </anchor>
              </controlPr>
            </control>
          </mc:Choice>
        </mc:AlternateContent>
        <mc:AlternateContent xmlns:mc="http://schemas.openxmlformats.org/markup-compatibility/2006">
          <mc:Choice Requires="x14">
            <control shapeId="5133" r:id="rId12" name="Check Box 13">
              <controlPr locked="0" defaultSize="0" autoFill="0" autoLine="0" autoPict="0" altText="_x000a_">
                <anchor moveWithCells="1">
                  <from>
                    <xdr:col>60</xdr:col>
                    <xdr:colOff>31750</xdr:colOff>
                    <xdr:row>3</xdr:row>
                    <xdr:rowOff>222250</xdr:rowOff>
                  </from>
                  <to>
                    <xdr:col>61</xdr:col>
                    <xdr:colOff>88900</xdr:colOff>
                    <xdr:row>5</xdr:row>
                    <xdr:rowOff>95250</xdr:rowOff>
                  </to>
                </anchor>
              </controlPr>
            </control>
          </mc:Choice>
        </mc:AlternateContent>
        <mc:AlternateContent xmlns:mc="http://schemas.openxmlformats.org/markup-compatibility/2006">
          <mc:Choice Requires="x14">
            <control shapeId="5134" r:id="rId13" name="Check Box 14">
              <controlPr locked="0" defaultSize="0" autoFill="0" autoLine="0" autoPict="0" altText="_x000a_">
                <anchor moveWithCells="1">
                  <from>
                    <xdr:col>65</xdr:col>
                    <xdr:colOff>38100</xdr:colOff>
                    <xdr:row>3</xdr:row>
                    <xdr:rowOff>222250</xdr:rowOff>
                  </from>
                  <to>
                    <xdr:col>66</xdr:col>
                    <xdr:colOff>95250</xdr:colOff>
                    <xdr:row>5</xdr:row>
                    <xdr:rowOff>95250</xdr:rowOff>
                  </to>
                </anchor>
              </controlPr>
            </control>
          </mc:Choice>
        </mc:AlternateContent>
        <mc:AlternateContent xmlns:mc="http://schemas.openxmlformats.org/markup-compatibility/2006">
          <mc:Choice Requires="x14">
            <control shapeId="5135" r:id="rId14" name="Check Box 15">
              <controlPr locked="0" defaultSize="0" autoFill="0" autoLine="0" autoPict="0" altText="_x000a_">
                <anchor moveWithCells="1">
                  <from>
                    <xdr:col>25</xdr:col>
                    <xdr:colOff>50800</xdr:colOff>
                    <xdr:row>3</xdr:row>
                    <xdr:rowOff>222250</xdr:rowOff>
                  </from>
                  <to>
                    <xdr:col>26</xdr:col>
                    <xdr:colOff>95250</xdr:colOff>
                    <xdr:row>5</xdr:row>
                    <xdr:rowOff>107950</xdr:rowOff>
                  </to>
                </anchor>
              </controlPr>
            </control>
          </mc:Choice>
        </mc:AlternateContent>
        <mc:AlternateContent xmlns:mc="http://schemas.openxmlformats.org/markup-compatibility/2006">
          <mc:Choice Requires="x14">
            <control shapeId="5136" r:id="rId15" name="Check Box 16">
              <controlPr locked="0" defaultSize="0" autoFill="0" autoLine="0" autoPict="0" altText="_x000a_">
                <anchor moveWithCells="1">
                  <from>
                    <xdr:col>25</xdr:col>
                    <xdr:colOff>50800</xdr:colOff>
                    <xdr:row>3</xdr:row>
                    <xdr:rowOff>222250</xdr:rowOff>
                  </from>
                  <to>
                    <xdr:col>26</xdr:col>
                    <xdr:colOff>95250</xdr:colOff>
                    <xdr:row>5</xdr:row>
                    <xdr:rowOff>107950</xdr:rowOff>
                  </to>
                </anchor>
              </controlPr>
            </control>
          </mc:Choice>
        </mc:AlternateContent>
        <mc:AlternateContent xmlns:mc="http://schemas.openxmlformats.org/markup-compatibility/2006">
          <mc:Choice Requires="x14">
            <control shapeId="5137" r:id="rId16" name="Check Box 17">
              <controlPr locked="0" defaultSize="0" autoFill="0" autoLine="0" autoPict="0" altText="_x000a_">
                <anchor moveWithCells="1">
                  <from>
                    <xdr:col>20</xdr:col>
                    <xdr:colOff>50800</xdr:colOff>
                    <xdr:row>3</xdr:row>
                    <xdr:rowOff>222250</xdr:rowOff>
                  </from>
                  <to>
                    <xdr:col>21</xdr:col>
                    <xdr:colOff>95250</xdr:colOff>
                    <xdr:row>5</xdr:row>
                    <xdr:rowOff>107950</xdr:rowOff>
                  </to>
                </anchor>
              </controlPr>
            </control>
          </mc:Choice>
        </mc:AlternateContent>
        <mc:AlternateContent xmlns:mc="http://schemas.openxmlformats.org/markup-compatibility/2006">
          <mc:Choice Requires="x14">
            <control shapeId="5138" r:id="rId17" name="Check Box 18">
              <controlPr locked="0" defaultSize="0" autoFill="0" autoLine="0" autoPict="0" altText="_x000a_">
                <anchor moveWithCells="1">
                  <from>
                    <xdr:col>15</xdr:col>
                    <xdr:colOff>50800</xdr:colOff>
                    <xdr:row>3</xdr:row>
                    <xdr:rowOff>222250</xdr:rowOff>
                  </from>
                  <to>
                    <xdr:col>16</xdr:col>
                    <xdr:colOff>95250</xdr:colOff>
                    <xdr:row>5</xdr:row>
                    <xdr:rowOff>107950</xdr:rowOff>
                  </to>
                </anchor>
              </controlPr>
            </control>
          </mc:Choice>
        </mc:AlternateContent>
        <mc:AlternateContent xmlns:mc="http://schemas.openxmlformats.org/markup-compatibility/2006">
          <mc:Choice Requires="x14">
            <control shapeId="5139" r:id="rId18" name="Check Box 19">
              <controlPr locked="0" defaultSize="0" autoFill="0" autoLine="0" autoPict="0" altText="_x000a_">
                <anchor moveWithCells="1">
                  <from>
                    <xdr:col>70</xdr:col>
                    <xdr:colOff>38100</xdr:colOff>
                    <xdr:row>3</xdr:row>
                    <xdr:rowOff>222250</xdr:rowOff>
                  </from>
                  <to>
                    <xdr:col>71</xdr:col>
                    <xdr:colOff>95250</xdr:colOff>
                    <xdr:row>5</xdr:row>
                    <xdr:rowOff>95250</xdr:rowOff>
                  </to>
                </anchor>
              </controlPr>
            </control>
          </mc:Choice>
        </mc:AlternateContent>
        <mc:AlternateContent xmlns:mc="http://schemas.openxmlformats.org/markup-compatibility/2006">
          <mc:Choice Requires="x14">
            <control shapeId="5140" r:id="rId19" name="Check Box 20">
              <controlPr locked="0" defaultSize="0" autoFill="0" autoLine="0" autoPict="0" altText="_x000a_">
                <anchor moveWithCells="1">
                  <from>
                    <xdr:col>75</xdr:col>
                    <xdr:colOff>38100</xdr:colOff>
                    <xdr:row>3</xdr:row>
                    <xdr:rowOff>222250</xdr:rowOff>
                  </from>
                  <to>
                    <xdr:col>76</xdr:col>
                    <xdr:colOff>95250</xdr:colOff>
                    <xdr:row>5</xdr:row>
                    <xdr:rowOff>95250</xdr:rowOff>
                  </to>
                </anchor>
              </controlPr>
            </control>
          </mc:Choice>
        </mc:AlternateContent>
        <mc:AlternateContent xmlns:mc="http://schemas.openxmlformats.org/markup-compatibility/2006">
          <mc:Choice Requires="x14">
            <control shapeId="5141" r:id="rId20" name="Check Box 21">
              <controlPr locked="0" defaultSize="0" autoFill="0" autoLine="0" autoPict="0" altText="_x000a_">
                <anchor moveWithCells="1">
                  <from>
                    <xdr:col>80</xdr:col>
                    <xdr:colOff>38100</xdr:colOff>
                    <xdr:row>3</xdr:row>
                    <xdr:rowOff>222250</xdr:rowOff>
                  </from>
                  <to>
                    <xdr:col>81</xdr:col>
                    <xdr:colOff>95250</xdr:colOff>
                    <xdr:row>5</xdr:row>
                    <xdr:rowOff>95250</xdr:rowOff>
                  </to>
                </anchor>
              </controlPr>
            </control>
          </mc:Choice>
        </mc:AlternateContent>
        <mc:AlternateContent xmlns:mc="http://schemas.openxmlformats.org/markup-compatibility/2006">
          <mc:Choice Requires="x14">
            <control shapeId="5142" r:id="rId21" name="Check Box 22">
              <controlPr locked="0" defaultSize="0" autoFill="0" autoLine="0" autoPict="0" altText="_x000a_">
                <anchor moveWithCells="1">
                  <from>
                    <xdr:col>85</xdr:col>
                    <xdr:colOff>38100</xdr:colOff>
                    <xdr:row>3</xdr:row>
                    <xdr:rowOff>222250</xdr:rowOff>
                  </from>
                  <to>
                    <xdr:col>86</xdr:col>
                    <xdr:colOff>95250</xdr:colOff>
                    <xdr:row>5</xdr:row>
                    <xdr:rowOff>95250</xdr:rowOff>
                  </to>
                </anchor>
              </controlPr>
            </control>
          </mc:Choice>
        </mc:AlternateContent>
        <mc:AlternateContent xmlns:mc="http://schemas.openxmlformats.org/markup-compatibility/2006">
          <mc:Choice Requires="x14">
            <control shapeId="5143" r:id="rId22" name="Check Box 23">
              <controlPr locked="0" defaultSize="0" autoFill="0" autoLine="0" autoPict="0" altText="_x000a_">
                <anchor moveWithCells="1">
                  <from>
                    <xdr:col>90</xdr:col>
                    <xdr:colOff>38100</xdr:colOff>
                    <xdr:row>3</xdr:row>
                    <xdr:rowOff>222250</xdr:rowOff>
                  </from>
                  <to>
                    <xdr:col>91</xdr:col>
                    <xdr:colOff>95250</xdr:colOff>
                    <xdr:row>5</xdr:row>
                    <xdr:rowOff>95250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tabColor rgb="FF002060"/>
  </sheetPr>
  <dimension ref="B1:EC30"/>
  <sheetViews>
    <sheetView topLeftCell="AI4" workbookViewId="0">
      <selection activeCell="AS6" sqref="AS6"/>
    </sheetView>
  </sheetViews>
  <sheetFormatPr baseColWidth="10" defaultRowHeight="14.75" x14ac:dyDescent="0.75"/>
  <cols>
    <col min="1" max="1" width="2.7265625" customWidth="1"/>
    <col min="2" max="3" width="11.453125" customWidth="1"/>
    <col min="4" max="4" width="11.7265625" customWidth="1"/>
    <col min="5" max="7" width="11.453125" customWidth="1"/>
    <col min="8" max="8" width="2.7265625" customWidth="1"/>
    <col min="9" max="10" width="11.453125" customWidth="1"/>
    <col min="11" max="11" width="11.7265625" customWidth="1"/>
    <col min="12" max="14" width="11.453125" customWidth="1"/>
    <col min="15" max="15" width="2.7265625" customWidth="1"/>
    <col min="16" max="17" width="11.453125" customWidth="1"/>
    <col min="18" max="18" width="11.7265625" customWidth="1"/>
    <col min="19" max="21" width="11.453125" customWidth="1"/>
    <col min="22" max="22" width="2.7265625" customWidth="1"/>
    <col min="23" max="24" width="11.453125" customWidth="1"/>
    <col min="25" max="25" width="11.7265625" customWidth="1"/>
    <col min="26" max="28" width="11.453125" customWidth="1"/>
    <col min="29" max="29" width="2.7265625" customWidth="1"/>
    <col min="30" max="31" width="11.453125" customWidth="1"/>
    <col min="32" max="32" width="11.7265625" customWidth="1"/>
    <col min="33" max="35" width="11.453125" customWidth="1"/>
    <col min="36" max="36" width="2.7265625" customWidth="1"/>
    <col min="43" max="43" width="2.7265625" customWidth="1"/>
    <col min="50" max="50" width="2.7265625" customWidth="1"/>
    <col min="57" max="57" width="2.7265625" customWidth="1"/>
    <col min="64" max="64" width="2.7265625" customWidth="1"/>
    <col min="71" max="71" width="2.7265625" customWidth="1"/>
    <col min="78" max="78" width="2.7265625" customWidth="1"/>
    <col min="79" max="84" width="11.453125" customWidth="1"/>
    <col min="85" max="85" width="2.7265625" customWidth="1"/>
    <col min="86" max="91" width="11.453125" customWidth="1"/>
    <col min="92" max="92" width="2.7265625" customWidth="1"/>
    <col min="93" max="95" width="11.453125" customWidth="1"/>
    <col min="96" max="98" width="13.7265625" customWidth="1"/>
    <col min="99" max="99" width="2.7265625" customWidth="1"/>
    <col min="103" max="105" width="13.7265625" customWidth="1"/>
    <col min="106" max="106" width="2.7265625" customWidth="1"/>
    <col min="110" max="112" width="13.7265625" customWidth="1"/>
    <col min="113" max="113" width="2.7265625" customWidth="1"/>
    <col min="117" max="119" width="13.7265625" customWidth="1"/>
    <col min="120" max="120" width="2.7265625" customWidth="1"/>
    <col min="124" max="126" width="13.7265625" customWidth="1"/>
    <col min="127" max="127" width="2.7265625" customWidth="1"/>
    <col min="131" max="133" width="13.7265625" customWidth="1"/>
  </cols>
  <sheetData>
    <row r="1" spans="2:133" ht="15" customHeight="1" x14ac:dyDescent="0.75">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row>
    <row r="2" spans="2:133" ht="40" customHeight="1" x14ac:dyDescent="0.75">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row>
    <row r="3" spans="2:133" ht="15" customHeight="1" x14ac:dyDescent="0.75">
      <c r="B3" s="30"/>
      <c r="C3" s="30"/>
      <c r="D3" s="87">
        <v>0.10075000000000001</v>
      </c>
      <c r="E3" s="30"/>
      <c r="F3" s="30"/>
      <c r="G3" s="30"/>
      <c r="H3" s="30"/>
      <c r="I3" s="30"/>
      <c r="J3" s="30"/>
      <c r="K3" s="87">
        <v>0.10075000000000001</v>
      </c>
      <c r="L3" s="30"/>
      <c r="M3" s="30"/>
      <c r="N3" s="30"/>
      <c r="O3" s="30"/>
      <c r="P3" s="30"/>
      <c r="Q3" s="30"/>
      <c r="R3" s="87">
        <v>0.10075000000000001</v>
      </c>
      <c r="S3" s="30"/>
      <c r="T3" s="30"/>
      <c r="U3" s="30"/>
      <c r="V3" s="30"/>
      <c r="W3" s="30"/>
      <c r="X3" s="30"/>
      <c r="Y3" s="87">
        <v>0.10075000000000001</v>
      </c>
      <c r="Z3" s="30"/>
      <c r="AA3" s="30"/>
      <c r="AB3" s="30"/>
      <c r="AC3" s="30"/>
      <c r="AD3" s="30"/>
      <c r="AE3" s="30"/>
      <c r="AF3" s="87">
        <v>0.10075000000000001</v>
      </c>
      <c r="AG3" s="30"/>
      <c r="AH3" s="30"/>
      <c r="AI3" s="30"/>
      <c r="AJ3" s="30"/>
      <c r="AK3" s="30"/>
      <c r="AL3" s="30"/>
      <c r="AM3" s="87">
        <v>0.10075000000000001</v>
      </c>
      <c r="AN3" s="30"/>
      <c r="AO3" s="30"/>
      <c r="AP3" s="30"/>
      <c r="AQ3" s="30"/>
      <c r="AR3" s="30"/>
      <c r="AS3" s="30"/>
      <c r="AT3" s="87">
        <v>0.11166</v>
      </c>
      <c r="AU3" s="30"/>
      <c r="AV3" s="30"/>
      <c r="AW3" s="30"/>
      <c r="AX3" s="30"/>
      <c r="AY3" s="30"/>
      <c r="AZ3" s="30"/>
      <c r="BA3" s="91">
        <v>0.12256</v>
      </c>
      <c r="BB3" s="30"/>
      <c r="BC3" s="30"/>
      <c r="BD3" s="30"/>
      <c r="BE3" s="30"/>
      <c r="BF3" s="30"/>
      <c r="BG3" s="30"/>
      <c r="BH3" s="91">
        <v>0.13347000000000001</v>
      </c>
      <c r="BI3" s="30"/>
      <c r="BJ3" s="30"/>
      <c r="BK3" s="30"/>
      <c r="BL3" s="30"/>
      <c r="BM3" s="30"/>
      <c r="BN3" s="30"/>
      <c r="BO3" s="91">
        <v>0.14438000000000001</v>
      </c>
      <c r="BP3" s="30"/>
      <c r="BQ3" s="30"/>
      <c r="BR3" s="30"/>
      <c r="BS3" s="30"/>
      <c r="BT3" s="30"/>
      <c r="BU3" s="30"/>
      <c r="BV3" s="91">
        <v>0.15528</v>
      </c>
      <c r="BW3" s="30"/>
      <c r="BX3" s="30"/>
      <c r="BY3" s="30"/>
      <c r="BZ3" s="30"/>
      <c r="CA3" s="30"/>
      <c r="CB3" s="30"/>
      <c r="CC3" s="91">
        <v>0.16619</v>
      </c>
      <c r="CD3" s="30"/>
      <c r="CE3" s="30"/>
      <c r="CF3" s="30"/>
      <c r="CG3" s="30"/>
      <c r="CH3" s="30"/>
      <c r="CI3" s="30"/>
      <c r="CJ3" s="91">
        <v>0.17709</v>
      </c>
      <c r="CK3" s="30"/>
      <c r="CL3" s="30"/>
      <c r="CM3" s="30"/>
      <c r="CN3" s="30"/>
      <c r="CO3" s="30"/>
      <c r="CP3" s="30"/>
      <c r="CQ3" s="91">
        <v>0.188</v>
      </c>
      <c r="CR3" s="30"/>
      <c r="CS3" s="30"/>
      <c r="CT3" s="30"/>
      <c r="CU3" s="30"/>
      <c r="CV3" s="30"/>
      <c r="CW3" s="30"/>
      <c r="CX3" s="91">
        <v>0.188</v>
      </c>
      <c r="CY3" s="30"/>
      <c r="CZ3" s="30"/>
      <c r="DA3" s="30"/>
      <c r="DB3" s="30"/>
      <c r="DC3" s="30"/>
      <c r="DD3" s="30"/>
      <c r="DE3" s="91">
        <v>0.188</v>
      </c>
      <c r="DF3" s="30"/>
      <c r="DG3" s="30"/>
      <c r="DH3" s="30"/>
      <c r="DI3" s="30"/>
      <c r="DJ3" s="30"/>
      <c r="DK3" s="30"/>
      <c r="DL3" s="91">
        <v>0.188</v>
      </c>
      <c r="DM3" s="30"/>
      <c r="DN3" s="30"/>
      <c r="DO3" s="30"/>
      <c r="DP3" s="30"/>
      <c r="DQ3" s="30"/>
      <c r="DR3" s="30"/>
      <c r="DS3" s="91">
        <v>0.188</v>
      </c>
      <c r="DT3" s="30"/>
      <c r="DU3" s="30"/>
      <c r="DV3" s="30"/>
      <c r="DW3" s="30"/>
      <c r="DX3" s="30"/>
      <c r="DY3" s="30"/>
      <c r="DZ3" s="91">
        <v>0.188</v>
      </c>
      <c r="EA3" s="30"/>
      <c r="EB3" s="30"/>
      <c r="EC3" s="30"/>
    </row>
    <row r="4" spans="2:133" ht="29.5" x14ac:dyDescent="0.75">
      <c r="B4" s="88" t="s">
        <v>61</v>
      </c>
      <c r="C4" s="88" t="s">
        <v>62</v>
      </c>
      <c r="D4" s="88" t="s">
        <v>66</v>
      </c>
      <c r="E4" s="88" t="s">
        <v>63</v>
      </c>
      <c r="F4" s="88" t="s">
        <v>64</v>
      </c>
      <c r="G4" s="88" t="s">
        <v>65</v>
      </c>
      <c r="H4" s="30"/>
      <c r="I4" s="88" t="s">
        <v>61</v>
      </c>
      <c r="J4" s="88" t="s">
        <v>62</v>
      </c>
      <c r="K4" s="88" t="s">
        <v>66</v>
      </c>
      <c r="L4" s="88" t="s">
        <v>63</v>
      </c>
      <c r="M4" s="88" t="s">
        <v>64</v>
      </c>
      <c r="N4" s="88" t="s">
        <v>65</v>
      </c>
      <c r="O4" s="30"/>
      <c r="P4" s="88" t="s">
        <v>61</v>
      </c>
      <c r="Q4" s="88" t="s">
        <v>62</v>
      </c>
      <c r="R4" s="88" t="s">
        <v>66</v>
      </c>
      <c r="S4" s="88" t="s">
        <v>63</v>
      </c>
      <c r="T4" s="88" t="s">
        <v>64</v>
      </c>
      <c r="U4" s="88" t="s">
        <v>65</v>
      </c>
      <c r="V4" s="30"/>
      <c r="W4" s="88" t="s">
        <v>61</v>
      </c>
      <c r="X4" s="88" t="s">
        <v>62</v>
      </c>
      <c r="Y4" s="88" t="s">
        <v>66</v>
      </c>
      <c r="Z4" s="88" t="s">
        <v>107</v>
      </c>
      <c r="AA4" s="88" t="s">
        <v>64</v>
      </c>
      <c r="AB4" s="88" t="s">
        <v>65</v>
      </c>
      <c r="AC4" s="30"/>
      <c r="AD4" s="88" t="s">
        <v>61</v>
      </c>
      <c r="AE4" s="88" t="s">
        <v>62</v>
      </c>
      <c r="AF4" s="88" t="s">
        <v>66</v>
      </c>
      <c r="AG4" s="88" t="s">
        <v>63</v>
      </c>
      <c r="AH4" s="88" t="s">
        <v>64</v>
      </c>
      <c r="AI4" s="88" t="s">
        <v>65</v>
      </c>
      <c r="AJ4" s="30"/>
      <c r="AK4" s="88" t="s">
        <v>61</v>
      </c>
      <c r="AL4" s="88" t="s">
        <v>62</v>
      </c>
      <c r="AM4" s="88" t="s">
        <v>66</v>
      </c>
      <c r="AN4" s="88" t="s">
        <v>63</v>
      </c>
      <c r="AO4" s="88" t="s">
        <v>64</v>
      </c>
      <c r="AP4" s="88" t="s">
        <v>65</v>
      </c>
      <c r="AQ4" s="30"/>
      <c r="AR4" s="88" t="s">
        <v>61</v>
      </c>
      <c r="AS4" s="88" t="s">
        <v>62</v>
      </c>
      <c r="AT4" s="88" t="s">
        <v>66</v>
      </c>
      <c r="AU4" s="88" t="s">
        <v>63</v>
      </c>
      <c r="AV4" s="88" t="s">
        <v>64</v>
      </c>
      <c r="AW4" s="88" t="s">
        <v>65</v>
      </c>
      <c r="AX4" s="30"/>
      <c r="AY4" s="88" t="s">
        <v>61</v>
      </c>
      <c r="AZ4" s="88" t="s">
        <v>62</v>
      </c>
      <c r="BA4" s="88" t="s">
        <v>66</v>
      </c>
      <c r="BB4" s="88" t="s">
        <v>107</v>
      </c>
      <c r="BC4" s="88" t="s">
        <v>64</v>
      </c>
      <c r="BD4" s="88" t="s">
        <v>65</v>
      </c>
      <c r="BE4" s="30"/>
      <c r="BF4" s="88" t="s">
        <v>61</v>
      </c>
      <c r="BG4" s="88" t="s">
        <v>62</v>
      </c>
      <c r="BH4" s="88" t="s">
        <v>66</v>
      </c>
      <c r="BI4" s="88" t="s">
        <v>63</v>
      </c>
      <c r="BJ4" s="88" t="s">
        <v>64</v>
      </c>
      <c r="BK4" s="88" t="s">
        <v>65</v>
      </c>
      <c r="BL4" s="30"/>
      <c r="BM4" s="88" t="s">
        <v>61</v>
      </c>
      <c r="BN4" s="88" t="s">
        <v>62</v>
      </c>
      <c r="BO4" s="88" t="s">
        <v>66</v>
      </c>
      <c r="BP4" s="88" t="s">
        <v>63</v>
      </c>
      <c r="BQ4" s="88" t="s">
        <v>64</v>
      </c>
      <c r="BR4" s="88" t="s">
        <v>65</v>
      </c>
      <c r="BS4" s="30"/>
      <c r="BT4" s="88" t="s">
        <v>61</v>
      </c>
      <c r="BU4" s="88" t="s">
        <v>62</v>
      </c>
      <c r="BV4" s="88" t="s">
        <v>66</v>
      </c>
      <c r="BW4" s="88" t="s">
        <v>63</v>
      </c>
      <c r="BX4" s="88" t="s">
        <v>64</v>
      </c>
      <c r="BY4" s="88" t="s">
        <v>65</v>
      </c>
      <c r="BZ4" s="30"/>
      <c r="CA4" s="88" t="s">
        <v>61</v>
      </c>
      <c r="CB4" s="88" t="s">
        <v>62</v>
      </c>
      <c r="CC4" s="88" t="s">
        <v>66</v>
      </c>
      <c r="CD4" s="88" t="s">
        <v>107</v>
      </c>
      <c r="CE4" s="88" t="s">
        <v>64</v>
      </c>
      <c r="CF4" s="88" t="s">
        <v>65</v>
      </c>
      <c r="CG4" s="30"/>
      <c r="CH4" s="88" t="s">
        <v>61</v>
      </c>
      <c r="CI4" s="88" t="s">
        <v>62</v>
      </c>
      <c r="CJ4" s="88" t="s">
        <v>66</v>
      </c>
      <c r="CK4" s="88" t="s">
        <v>63</v>
      </c>
      <c r="CL4" s="88" t="s">
        <v>64</v>
      </c>
      <c r="CM4" s="88" t="s">
        <v>65</v>
      </c>
      <c r="CN4" s="30"/>
      <c r="CO4" s="88" t="s">
        <v>61</v>
      </c>
      <c r="CP4" s="88" t="s">
        <v>62</v>
      </c>
      <c r="CQ4" s="88" t="s">
        <v>66</v>
      </c>
      <c r="CR4" s="88" t="s">
        <v>63</v>
      </c>
      <c r="CS4" s="88" t="s">
        <v>64</v>
      </c>
      <c r="CT4" s="88" t="s">
        <v>65</v>
      </c>
      <c r="CU4" s="30"/>
      <c r="CV4" s="88" t="s">
        <v>61</v>
      </c>
      <c r="CW4" s="88" t="s">
        <v>62</v>
      </c>
      <c r="CX4" s="88" t="s">
        <v>66</v>
      </c>
      <c r="CY4" s="88" t="s">
        <v>63</v>
      </c>
      <c r="CZ4" s="88" t="s">
        <v>64</v>
      </c>
      <c r="DA4" s="88" t="s">
        <v>65</v>
      </c>
      <c r="DB4" s="30"/>
      <c r="DC4" s="88" t="s">
        <v>61</v>
      </c>
      <c r="DD4" s="88" t="s">
        <v>62</v>
      </c>
      <c r="DE4" s="88" t="s">
        <v>66</v>
      </c>
      <c r="DF4" s="88" t="s">
        <v>63</v>
      </c>
      <c r="DG4" s="88" t="s">
        <v>64</v>
      </c>
      <c r="DH4" s="88" t="s">
        <v>65</v>
      </c>
      <c r="DI4" s="30"/>
      <c r="DJ4" s="88" t="s">
        <v>61</v>
      </c>
      <c r="DK4" s="88" t="s">
        <v>62</v>
      </c>
      <c r="DL4" s="88" t="s">
        <v>66</v>
      </c>
      <c r="DM4" s="88" t="s">
        <v>63</v>
      </c>
      <c r="DN4" s="88" t="s">
        <v>64</v>
      </c>
      <c r="DO4" s="88" t="s">
        <v>65</v>
      </c>
      <c r="DP4" s="30"/>
      <c r="DQ4" s="88" t="s">
        <v>61</v>
      </c>
      <c r="DR4" s="88" t="s">
        <v>62</v>
      </c>
      <c r="DS4" s="88" t="s">
        <v>66</v>
      </c>
      <c r="DT4" s="88" t="s">
        <v>63</v>
      </c>
      <c r="DU4" s="88" t="s">
        <v>64</v>
      </c>
      <c r="DV4" s="88" t="s">
        <v>65</v>
      </c>
      <c r="DW4" s="30"/>
      <c r="DX4" s="88" t="s">
        <v>61</v>
      </c>
      <c r="DY4" s="88" t="s">
        <v>62</v>
      </c>
      <c r="DZ4" s="88" t="s">
        <v>66</v>
      </c>
      <c r="EA4" s="88" t="s">
        <v>63</v>
      </c>
      <c r="EB4" s="88" t="s">
        <v>64</v>
      </c>
      <c r="EC4" s="88" t="s">
        <v>65</v>
      </c>
    </row>
    <row r="5" spans="2:133" x14ac:dyDescent="0.75">
      <c r="B5" s="49">
        <v>1</v>
      </c>
      <c r="C5" s="89">
        <v>75.489999999999995</v>
      </c>
      <c r="D5" s="50">
        <f>C5*D$3</f>
        <v>7.6056175000000001</v>
      </c>
      <c r="E5" s="50">
        <f>D5*28</f>
        <v>212.95729</v>
      </c>
      <c r="F5" s="50">
        <f>D5*30</f>
        <v>228.16852500000002</v>
      </c>
      <c r="G5" s="50">
        <f>D5*31</f>
        <v>235.77414250000001</v>
      </c>
      <c r="H5" s="30"/>
      <c r="I5" s="49">
        <v>1</v>
      </c>
      <c r="J5" s="89">
        <v>80.599999999999994</v>
      </c>
      <c r="K5" s="50">
        <f>J5*K$3</f>
        <v>8.1204499999999999</v>
      </c>
      <c r="L5" s="50">
        <f>K5*28</f>
        <v>227.37260000000001</v>
      </c>
      <c r="M5" s="50">
        <f>K5*30</f>
        <v>243.61349999999999</v>
      </c>
      <c r="N5" s="50">
        <f>K5*31</f>
        <v>251.73394999999999</v>
      </c>
      <c r="O5" s="30"/>
      <c r="P5" s="49">
        <v>1</v>
      </c>
      <c r="Q5" s="89">
        <v>84.49</v>
      </c>
      <c r="R5" s="50">
        <f>Q5*R$3</f>
        <v>8.5123674999999999</v>
      </c>
      <c r="S5" s="50">
        <f>R5*28</f>
        <v>238.34629000000001</v>
      </c>
      <c r="T5" s="50">
        <f>R5*30</f>
        <v>255.371025</v>
      </c>
      <c r="U5" s="50">
        <f>R5*31</f>
        <v>263.88339250000001</v>
      </c>
      <c r="V5" s="30"/>
      <c r="W5" s="49">
        <v>1</v>
      </c>
      <c r="X5" s="89">
        <v>86.88</v>
      </c>
      <c r="Y5" s="50">
        <f>X5*Y$3</f>
        <v>8.7531599999999994</v>
      </c>
      <c r="Z5" s="50">
        <f>Y5*28</f>
        <v>245.08847999999998</v>
      </c>
      <c r="AA5" s="50">
        <f>Y5*30</f>
        <v>262.59479999999996</v>
      </c>
      <c r="AB5" s="50">
        <f>Y5*31</f>
        <v>271.34796</v>
      </c>
      <c r="AC5" s="30"/>
      <c r="AD5" s="49">
        <v>1</v>
      </c>
      <c r="AE5" s="89">
        <v>89.62</v>
      </c>
      <c r="AF5" s="50">
        <f>AE5*AF$3</f>
        <v>9.0292150000000007</v>
      </c>
      <c r="AG5" s="50">
        <f>AF5*28</f>
        <v>252.81802000000002</v>
      </c>
      <c r="AH5" s="50">
        <f>AF5*30</f>
        <v>270.87645000000003</v>
      </c>
      <c r="AI5" s="50">
        <f>AF5*31</f>
        <v>279.905665</v>
      </c>
      <c r="AJ5" s="30"/>
      <c r="AK5" s="49">
        <v>1</v>
      </c>
      <c r="AL5" s="89">
        <v>96.22</v>
      </c>
      <c r="AM5" s="50">
        <f>AL5*AM$3</f>
        <v>9.6941649999999999</v>
      </c>
      <c r="AN5" s="50">
        <f>AM5*28</f>
        <v>271.43662</v>
      </c>
      <c r="AO5" s="50">
        <f>AM5*30</f>
        <v>290.82495</v>
      </c>
      <c r="AP5" s="50">
        <f>AM5*31</f>
        <v>300.519115</v>
      </c>
      <c r="AQ5" s="30"/>
      <c r="AR5" s="49">
        <v>1</v>
      </c>
      <c r="AS5" s="74">
        <v>103.74</v>
      </c>
      <c r="AT5" s="50">
        <f>AS5*AT$3</f>
        <v>11.583608399999999</v>
      </c>
      <c r="AU5" s="50">
        <f>AT5*28</f>
        <v>324.34103519999996</v>
      </c>
      <c r="AV5" s="50">
        <f>AT5*30</f>
        <v>347.50825199999997</v>
      </c>
      <c r="AW5" s="50">
        <f>AT5*31</f>
        <v>359.09186039999997</v>
      </c>
      <c r="AX5" s="30"/>
      <c r="AY5" s="49">
        <v>1</v>
      </c>
      <c r="AZ5" s="74">
        <v>0</v>
      </c>
      <c r="BA5" s="50">
        <f>AZ5*BA$3</f>
        <v>0</v>
      </c>
      <c r="BB5" s="50">
        <f>BA5*28</f>
        <v>0</v>
      </c>
      <c r="BC5" s="50">
        <f>BA5*30</f>
        <v>0</v>
      </c>
      <c r="BD5" s="50">
        <f>BA5*31</f>
        <v>0</v>
      </c>
      <c r="BE5" s="30"/>
      <c r="BF5" s="49">
        <v>1</v>
      </c>
      <c r="BG5" s="74">
        <v>0</v>
      </c>
      <c r="BH5" s="50">
        <f>BG5*BH$3</f>
        <v>0</v>
      </c>
      <c r="BI5" s="50">
        <f>BH5*28</f>
        <v>0</v>
      </c>
      <c r="BJ5" s="50">
        <f>BH5*30</f>
        <v>0</v>
      </c>
      <c r="BK5" s="50">
        <f>BH5*31</f>
        <v>0</v>
      </c>
      <c r="BL5" s="30"/>
      <c r="BM5" s="49">
        <v>1</v>
      </c>
      <c r="BN5" s="74">
        <v>0</v>
      </c>
      <c r="BO5" s="50">
        <f>BN5*BO$3</f>
        <v>0</v>
      </c>
      <c r="BP5" s="50">
        <f>BO5*28</f>
        <v>0</v>
      </c>
      <c r="BQ5" s="50">
        <f>BO5*30</f>
        <v>0</v>
      </c>
      <c r="BR5" s="50">
        <f>BO5*31</f>
        <v>0</v>
      </c>
      <c r="BS5" s="30"/>
      <c r="BT5" s="49">
        <v>1</v>
      </c>
      <c r="BU5" s="74">
        <v>0</v>
      </c>
      <c r="BV5" s="50">
        <f>BU5*BV$3</f>
        <v>0</v>
      </c>
      <c r="BW5" s="50">
        <f>BV5*28</f>
        <v>0</v>
      </c>
      <c r="BX5" s="50">
        <f>BV5*30</f>
        <v>0</v>
      </c>
      <c r="BY5" s="50">
        <f>BV5*31</f>
        <v>0</v>
      </c>
      <c r="BZ5" s="30"/>
      <c r="CA5" s="49">
        <v>1</v>
      </c>
      <c r="CB5" s="74">
        <v>0</v>
      </c>
      <c r="CC5" s="50">
        <f>CB5*CC$3</f>
        <v>0</v>
      </c>
      <c r="CD5" s="50">
        <f>CC5*28</f>
        <v>0</v>
      </c>
      <c r="CE5" s="50">
        <f>CC5*30</f>
        <v>0</v>
      </c>
      <c r="CF5" s="50">
        <f>CC5*31</f>
        <v>0</v>
      </c>
      <c r="CG5" s="30"/>
      <c r="CH5" s="49">
        <v>1</v>
      </c>
      <c r="CI5" s="74">
        <v>0</v>
      </c>
      <c r="CJ5" s="50">
        <f>CI5*CJ$3</f>
        <v>0</v>
      </c>
      <c r="CK5" s="50">
        <f>CJ5*28</f>
        <v>0</v>
      </c>
      <c r="CL5" s="50">
        <f>CJ5*30</f>
        <v>0</v>
      </c>
      <c r="CM5" s="50">
        <f>CJ5*31</f>
        <v>0</v>
      </c>
      <c r="CN5" s="30"/>
      <c r="CO5" s="49">
        <v>1</v>
      </c>
      <c r="CP5" s="74">
        <v>0</v>
      </c>
      <c r="CQ5" s="50">
        <f>CP5*CQ$3</f>
        <v>0</v>
      </c>
      <c r="CR5" s="50">
        <f>CQ5*28</f>
        <v>0</v>
      </c>
      <c r="CS5" s="50">
        <f>CQ5*30</f>
        <v>0</v>
      </c>
      <c r="CT5" s="50">
        <f>CQ5*31</f>
        <v>0</v>
      </c>
      <c r="CU5" s="30"/>
      <c r="CV5" s="49">
        <v>1</v>
      </c>
      <c r="CW5" s="74">
        <v>0</v>
      </c>
      <c r="CX5" s="50">
        <f>CW5*CX$3</f>
        <v>0</v>
      </c>
      <c r="CY5" s="50">
        <f>CX5*28</f>
        <v>0</v>
      </c>
      <c r="CZ5" s="50">
        <f>CX5*30</f>
        <v>0</v>
      </c>
      <c r="DA5" s="50">
        <f>CX5*31</f>
        <v>0</v>
      </c>
      <c r="DB5" s="30"/>
      <c r="DC5" s="49">
        <v>1</v>
      </c>
      <c r="DD5" s="74">
        <v>0</v>
      </c>
      <c r="DE5" s="50">
        <f>DD5*DE$3</f>
        <v>0</v>
      </c>
      <c r="DF5" s="50">
        <f>DE5*28</f>
        <v>0</v>
      </c>
      <c r="DG5" s="50">
        <f>DE5*30</f>
        <v>0</v>
      </c>
      <c r="DH5" s="50">
        <f>DE5*31</f>
        <v>0</v>
      </c>
      <c r="DI5" s="30"/>
      <c r="DJ5" s="49">
        <v>1</v>
      </c>
      <c r="DK5" s="74">
        <v>0</v>
      </c>
      <c r="DL5" s="50">
        <f>DK5*DL$3</f>
        <v>0</v>
      </c>
      <c r="DM5" s="50">
        <f>DL5*28</f>
        <v>0</v>
      </c>
      <c r="DN5" s="50">
        <f>DL5*30</f>
        <v>0</v>
      </c>
      <c r="DO5" s="50">
        <f>DL5*31</f>
        <v>0</v>
      </c>
      <c r="DP5" s="30"/>
      <c r="DQ5" s="49">
        <v>1</v>
      </c>
      <c r="DR5" s="74">
        <v>0</v>
      </c>
      <c r="DS5" s="50">
        <f>DR5*DS$3</f>
        <v>0</v>
      </c>
      <c r="DT5" s="50">
        <f>DS5*28</f>
        <v>0</v>
      </c>
      <c r="DU5" s="50">
        <f>DS5*30</f>
        <v>0</v>
      </c>
      <c r="DV5" s="50">
        <f>DS5*31</f>
        <v>0</v>
      </c>
      <c r="DW5" s="30"/>
      <c r="DX5" s="49">
        <v>1</v>
      </c>
      <c r="DY5" s="74">
        <v>0</v>
      </c>
      <c r="DZ5" s="50">
        <f>DY5*DZ$3</f>
        <v>0</v>
      </c>
      <c r="EA5" s="50">
        <f>DZ5*28</f>
        <v>0</v>
      </c>
      <c r="EB5" s="50">
        <f>DZ5*30</f>
        <v>0</v>
      </c>
      <c r="EC5" s="50">
        <f>DZ5*31</f>
        <v>0</v>
      </c>
    </row>
    <row r="6" spans="2:133" x14ac:dyDescent="0.75">
      <c r="B6" s="49">
        <v>2</v>
      </c>
      <c r="C6" s="50">
        <f>C$5*B6</f>
        <v>150.97999999999999</v>
      </c>
      <c r="D6" s="50">
        <f t="shared" ref="D6:D29" si="0">C6*D$3</f>
        <v>15.211235</v>
      </c>
      <c r="E6" s="50">
        <f t="shared" ref="E6:E29" si="1">D6*28</f>
        <v>425.91458</v>
      </c>
      <c r="F6" s="50">
        <f t="shared" ref="F6:F29" si="2">D6*30</f>
        <v>456.33705000000003</v>
      </c>
      <c r="G6" s="50">
        <f t="shared" ref="G6:G29" si="3">D6*31</f>
        <v>471.54828500000002</v>
      </c>
      <c r="H6" s="30"/>
      <c r="I6" s="49">
        <v>2</v>
      </c>
      <c r="J6" s="50">
        <f>J$5*I6</f>
        <v>161.19999999999999</v>
      </c>
      <c r="K6" s="50">
        <f t="shared" ref="K6:K29" si="4">J6*K$3</f>
        <v>16.2409</v>
      </c>
      <c r="L6" s="50">
        <f t="shared" ref="L6:L29" si="5">K6*28</f>
        <v>454.74520000000001</v>
      </c>
      <c r="M6" s="50">
        <f t="shared" ref="M6:M29" si="6">K6*30</f>
        <v>487.22699999999998</v>
      </c>
      <c r="N6" s="50">
        <f t="shared" ref="N6:N29" si="7">K6*31</f>
        <v>503.46789999999999</v>
      </c>
      <c r="O6" s="30"/>
      <c r="P6" s="49">
        <v>2</v>
      </c>
      <c r="Q6" s="50">
        <f>Q$5*P6</f>
        <v>168.98</v>
      </c>
      <c r="R6" s="50">
        <f t="shared" ref="R6:R29" si="8">Q6*R$3</f>
        <v>17.024735</v>
      </c>
      <c r="S6" s="50">
        <f t="shared" ref="S6:S29" si="9">R6*28</f>
        <v>476.69258000000002</v>
      </c>
      <c r="T6" s="50">
        <f t="shared" ref="T6:T29" si="10">R6*30</f>
        <v>510.74205000000001</v>
      </c>
      <c r="U6" s="50">
        <f t="shared" ref="U6:U29" si="11">R6*31</f>
        <v>527.76678500000003</v>
      </c>
      <c r="V6" s="30"/>
      <c r="W6" s="49">
        <v>2</v>
      </c>
      <c r="X6" s="50">
        <f>X$5*W6</f>
        <v>173.76</v>
      </c>
      <c r="Y6" s="50">
        <f t="shared" ref="Y6:Y29" si="12">X6*Y$3</f>
        <v>17.506319999999999</v>
      </c>
      <c r="Z6" s="50">
        <f>Y6*29</f>
        <v>507.68327999999997</v>
      </c>
      <c r="AA6" s="50">
        <f t="shared" ref="AA6:AA29" si="13">Y6*30</f>
        <v>525.18959999999993</v>
      </c>
      <c r="AB6" s="50">
        <f t="shared" ref="AB6:AB29" si="14">Y6*31</f>
        <v>542.69592</v>
      </c>
      <c r="AC6" s="30"/>
      <c r="AD6" s="49">
        <v>2</v>
      </c>
      <c r="AE6" s="50">
        <f>AE$5*AD6</f>
        <v>179.24</v>
      </c>
      <c r="AF6" s="50">
        <f t="shared" ref="AF6:AF29" si="15">AE6*AF$3</f>
        <v>18.058430000000001</v>
      </c>
      <c r="AG6" s="50">
        <f t="shared" ref="AG6:AG29" si="16">AF6*28</f>
        <v>505.63604000000004</v>
      </c>
      <c r="AH6" s="50">
        <f t="shared" ref="AH6:AH29" si="17">AF6*30</f>
        <v>541.75290000000007</v>
      </c>
      <c r="AI6" s="50">
        <f t="shared" ref="AI6:AI29" si="18">AF6*31</f>
        <v>559.81133</v>
      </c>
      <c r="AJ6" s="30"/>
      <c r="AK6" s="49">
        <v>2</v>
      </c>
      <c r="AL6" s="50">
        <f>AL$5*AK6</f>
        <v>192.44</v>
      </c>
      <c r="AM6" s="50">
        <f t="shared" ref="AM6:AM29" si="19">AL6*AM$3</f>
        <v>19.38833</v>
      </c>
      <c r="AN6" s="50">
        <f t="shared" ref="AN6:AN29" si="20">AM6*28</f>
        <v>542.87324000000001</v>
      </c>
      <c r="AO6" s="50">
        <f t="shared" ref="AO6:AO29" si="21">AM6*30</f>
        <v>581.6499</v>
      </c>
      <c r="AP6" s="50">
        <f t="shared" ref="AP6:AP29" si="22">AM6*31</f>
        <v>601.03823</v>
      </c>
      <c r="AQ6" s="30"/>
      <c r="AR6" s="49">
        <v>2</v>
      </c>
      <c r="AS6" s="50">
        <f>AS$5*AR6</f>
        <v>207.48</v>
      </c>
      <c r="AT6" s="50">
        <f t="shared" ref="AT6:AT29" si="23">AS6*AT$3</f>
        <v>23.167216799999998</v>
      </c>
      <c r="AU6" s="50">
        <f t="shared" ref="AU6:AU29" si="24">AT6*28</f>
        <v>648.68207039999993</v>
      </c>
      <c r="AV6" s="50">
        <f t="shared" ref="AV6:AV29" si="25">AT6*30</f>
        <v>695.01650399999994</v>
      </c>
      <c r="AW6" s="50">
        <f t="shared" ref="AW6:AW29" si="26">AT6*31</f>
        <v>718.18372079999995</v>
      </c>
      <c r="AX6" s="30"/>
      <c r="AY6" s="49">
        <v>2</v>
      </c>
      <c r="AZ6" s="50">
        <f>AZ$5*AY6</f>
        <v>0</v>
      </c>
      <c r="BA6" s="50">
        <f t="shared" ref="BA6:BA29" si="27">AZ6*BA$3</f>
        <v>0</v>
      </c>
      <c r="BB6" s="50">
        <f>BA6*29</f>
        <v>0</v>
      </c>
      <c r="BC6" s="50">
        <f t="shared" ref="BC6:BC29" si="28">BA6*30</f>
        <v>0</v>
      </c>
      <c r="BD6" s="50">
        <f t="shared" ref="BD6:BD29" si="29">BA6*31</f>
        <v>0</v>
      </c>
      <c r="BE6" s="30"/>
      <c r="BF6" s="49">
        <v>2</v>
      </c>
      <c r="BG6" s="50">
        <f>BG$5*BF6</f>
        <v>0</v>
      </c>
      <c r="BH6" s="50">
        <f t="shared" ref="BH6:BH29" si="30">BG6*BH$3</f>
        <v>0</v>
      </c>
      <c r="BI6" s="50">
        <f t="shared" ref="BI6:BI29" si="31">BH6*28</f>
        <v>0</v>
      </c>
      <c r="BJ6" s="50">
        <f t="shared" ref="BJ6:BJ29" si="32">BH6*30</f>
        <v>0</v>
      </c>
      <c r="BK6" s="50">
        <f t="shared" ref="BK6:BK29" si="33">BH6*31</f>
        <v>0</v>
      </c>
      <c r="BL6" s="30"/>
      <c r="BM6" s="49">
        <v>2</v>
      </c>
      <c r="BN6" s="50">
        <f>BN$5*BM6</f>
        <v>0</v>
      </c>
      <c r="BO6" s="50">
        <f t="shared" ref="BO6:BO29" si="34">BN6*BO$3</f>
        <v>0</v>
      </c>
      <c r="BP6" s="50">
        <f t="shared" ref="BP6:BP29" si="35">BO6*28</f>
        <v>0</v>
      </c>
      <c r="BQ6" s="50">
        <f t="shared" ref="BQ6:BQ29" si="36">BO6*30</f>
        <v>0</v>
      </c>
      <c r="BR6" s="50">
        <f t="shared" ref="BR6:BR29" si="37">BO6*31</f>
        <v>0</v>
      </c>
      <c r="BS6" s="30"/>
      <c r="BT6" s="49">
        <v>2</v>
      </c>
      <c r="BU6" s="50">
        <f>BU$5*BT6</f>
        <v>0</v>
      </c>
      <c r="BV6" s="50">
        <f t="shared" ref="BV6:BV29" si="38">BU6*BV$3</f>
        <v>0</v>
      </c>
      <c r="BW6" s="50">
        <f t="shared" ref="BW6:BW29" si="39">BV6*28</f>
        <v>0</v>
      </c>
      <c r="BX6" s="50">
        <f t="shared" ref="BX6:BX29" si="40">BV6*30</f>
        <v>0</v>
      </c>
      <c r="BY6" s="50">
        <f t="shared" ref="BY6:BY29" si="41">BV6*31</f>
        <v>0</v>
      </c>
      <c r="BZ6" s="30"/>
      <c r="CA6" s="49">
        <v>2</v>
      </c>
      <c r="CB6" s="50">
        <f>CB$5*CA6</f>
        <v>0</v>
      </c>
      <c r="CC6" s="50">
        <f t="shared" ref="CC6:CC29" si="42">CB6*CC$3</f>
        <v>0</v>
      </c>
      <c r="CD6" s="50">
        <f>CC6*29</f>
        <v>0</v>
      </c>
      <c r="CE6" s="50">
        <f t="shared" ref="CE6:CE29" si="43">CC6*30</f>
        <v>0</v>
      </c>
      <c r="CF6" s="50">
        <f t="shared" ref="CF6:CF29" si="44">CC6*31</f>
        <v>0</v>
      </c>
      <c r="CG6" s="30"/>
      <c r="CH6" s="49">
        <v>2</v>
      </c>
      <c r="CI6" s="50">
        <f>CI$5*CH6</f>
        <v>0</v>
      </c>
      <c r="CJ6" s="50">
        <f t="shared" ref="CJ6:CJ29" si="45">CI6*CJ$3</f>
        <v>0</v>
      </c>
      <c r="CK6" s="50">
        <f t="shared" ref="CK6:CK29" si="46">CJ6*28</f>
        <v>0</v>
      </c>
      <c r="CL6" s="50">
        <f t="shared" ref="CL6:CL29" si="47">CJ6*30</f>
        <v>0</v>
      </c>
      <c r="CM6" s="50">
        <f t="shared" ref="CM6:CM29" si="48">CJ6*31</f>
        <v>0</v>
      </c>
      <c r="CN6" s="30"/>
      <c r="CO6" s="49">
        <v>2</v>
      </c>
      <c r="CP6" s="50">
        <f>CP$5*CO6</f>
        <v>0</v>
      </c>
      <c r="CQ6" s="50">
        <f t="shared" ref="CQ6:CQ29" si="49">CP6*CQ$3</f>
        <v>0</v>
      </c>
      <c r="CR6" s="50">
        <f t="shared" ref="CR6:CR29" si="50">CQ6*28</f>
        <v>0</v>
      </c>
      <c r="CS6" s="50">
        <f t="shared" ref="CS6:CS29" si="51">CQ6*30</f>
        <v>0</v>
      </c>
      <c r="CT6" s="50">
        <f t="shared" ref="CT6:CT29" si="52">CQ6*31</f>
        <v>0</v>
      </c>
      <c r="CU6" s="30"/>
      <c r="CV6" s="49">
        <v>2</v>
      </c>
      <c r="CW6" s="50">
        <f>CW$5*CV6</f>
        <v>0</v>
      </c>
      <c r="CX6" s="50">
        <f t="shared" ref="CX6:CX29" si="53">CW6*CX$3</f>
        <v>0</v>
      </c>
      <c r="CY6" s="50">
        <f t="shared" ref="CY6:CY29" si="54">CX6*28</f>
        <v>0</v>
      </c>
      <c r="CZ6" s="50">
        <f t="shared" ref="CZ6:CZ29" si="55">CX6*30</f>
        <v>0</v>
      </c>
      <c r="DA6" s="50">
        <f t="shared" ref="DA6:DA29" si="56">CX6*31</f>
        <v>0</v>
      </c>
      <c r="DB6" s="30"/>
      <c r="DC6" s="49">
        <v>2</v>
      </c>
      <c r="DD6" s="50">
        <f>DD$5*DC6</f>
        <v>0</v>
      </c>
      <c r="DE6" s="50">
        <f t="shared" ref="DE6:DE29" si="57">DD6*DE$3</f>
        <v>0</v>
      </c>
      <c r="DF6" s="50">
        <f t="shared" ref="DF6:DF29" si="58">DE6*28</f>
        <v>0</v>
      </c>
      <c r="DG6" s="50">
        <f t="shared" ref="DG6:DG29" si="59">DE6*30</f>
        <v>0</v>
      </c>
      <c r="DH6" s="50">
        <f t="shared" ref="DH6:DH29" si="60">DE6*31</f>
        <v>0</v>
      </c>
      <c r="DI6" s="30"/>
      <c r="DJ6" s="49">
        <v>2</v>
      </c>
      <c r="DK6" s="50">
        <f>DK$5*DJ6</f>
        <v>0</v>
      </c>
      <c r="DL6" s="50">
        <f t="shared" ref="DL6:DL29" si="61">DK6*DL$3</f>
        <v>0</v>
      </c>
      <c r="DM6" s="50">
        <f t="shared" ref="DM6:DM29" si="62">DL6*28</f>
        <v>0</v>
      </c>
      <c r="DN6" s="50">
        <f t="shared" ref="DN6:DN29" si="63">DL6*30</f>
        <v>0</v>
      </c>
      <c r="DO6" s="50">
        <f t="shared" ref="DO6:DO29" si="64">DL6*31</f>
        <v>0</v>
      </c>
      <c r="DP6" s="30"/>
      <c r="DQ6" s="49">
        <v>2</v>
      </c>
      <c r="DR6" s="50">
        <f>DR$5*DQ6</f>
        <v>0</v>
      </c>
      <c r="DS6" s="50">
        <f t="shared" ref="DS6:DS29" si="65">DR6*DS$3</f>
        <v>0</v>
      </c>
      <c r="DT6" s="50">
        <f t="shared" ref="DT6:DT29" si="66">DS6*28</f>
        <v>0</v>
      </c>
      <c r="DU6" s="50">
        <f t="shared" ref="DU6:DU29" si="67">DS6*30</f>
        <v>0</v>
      </c>
      <c r="DV6" s="50">
        <f t="shared" ref="DV6:DV29" si="68">DS6*31</f>
        <v>0</v>
      </c>
      <c r="DW6" s="30"/>
      <c r="DX6" s="49">
        <v>2</v>
      </c>
      <c r="DY6" s="50">
        <f>DY$5*DX6</f>
        <v>0</v>
      </c>
      <c r="DZ6" s="50">
        <f t="shared" ref="DZ6:DZ29" si="69">DY6*DZ$3</f>
        <v>0</v>
      </c>
      <c r="EA6" s="50">
        <f t="shared" ref="EA6:EA29" si="70">DZ6*28</f>
        <v>0</v>
      </c>
      <c r="EB6" s="50">
        <f t="shared" ref="EB6:EB29" si="71">DZ6*30</f>
        <v>0</v>
      </c>
      <c r="EC6" s="50">
        <f t="shared" ref="EC6:EC29" si="72">DZ6*31</f>
        <v>0</v>
      </c>
    </row>
    <row r="7" spans="2:133" x14ac:dyDescent="0.75">
      <c r="B7" s="49">
        <v>3</v>
      </c>
      <c r="C7" s="50">
        <f t="shared" ref="C7:C29" si="73">C$5*B7</f>
        <v>226.46999999999997</v>
      </c>
      <c r="D7" s="50">
        <f t="shared" si="0"/>
        <v>22.8168525</v>
      </c>
      <c r="E7" s="50">
        <f t="shared" si="1"/>
        <v>638.87186999999994</v>
      </c>
      <c r="F7" s="50">
        <f t="shared" si="2"/>
        <v>684.50557500000002</v>
      </c>
      <c r="G7" s="50">
        <f t="shared" si="3"/>
        <v>707.3224275</v>
      </c>
      <c r="H7" s="30"/>
      <c r="I7" s="49">
        <v>3</v>
      </c>
      <c r="J7" s="50">
        <f t="shared" ref="J7:J29" si="74">J$5*I7</f>
        <v>241.79999999999998</v>
      </c>
      <c r="K7" s="50">
        <f t="shared" si="4"/>
        <v>24.361349999999998</v>
      </c>
      <c r="L7" s="50">
        <f t="shared" si="5"/>
        <v>682.11779999999999</v>
      </c>
      <c r="M7" s="50">
        <f t="shared" si="6"/>
        <v>730.84049999999991</v>
      </c>
      <c r="N7" s="50">
        <f t="shared" si="7"/>
        <v>755.20184999999992</v>
      </c>
      <c r="O7" s="30"/>
      <c r="P7" s="49">
        <v>3</v>
      </c>
      <c r="Q7" s="50">
        <f t="shared" ref="Q7:Q29" si="75">Q$5*P7</f>
        <v>253.46999999999997</v>
      </c>
      <c r="R7" s="50">
        <f t="shared" si="8"/>
        <v>25.5371025</v>
      </c>
      <c r="S7" s="50">
        <f t="shared" si="9"/>
        <v>715.03886999999997</v>
      </c>
      <c r="T7" s="50">
        <f t="shared" si="10"/>
        <v>766.11307499999998</v>
      </c>
      <c r="U7" s="50">
        <f t="shared" si="11"/>
        <v>791.65017750000004</v>
      </c>
      <c r="V7" s="30"/>
      <c r="W7" s="49">
        <v>3</v>
      </c>
      <c r="X7" s="50">
        <f t="shared" ref="X7:X29" si="76">X$5*W7</f>
        <v>260.64</v>
      </c>
      <c r="Y7" s="50">
        <f t="shared" si="12"/>
        <v>26.25948</v>
      </c>
      <c r="Z7" s="50">
        <f t="shared" ref="Z7:Z29" si="77">Y7*28</f>
        <v>735.26544000000001</v>
      </c>
      <c r="AA7" s="50">
        <f t="shared" si="13"/>
        <v>787.78440000000001</v>
      </c>
      <c r="AB7" s="50">
        <f t="shared" si="14"/>
        <v>814.04387999999994</v>
      </c>
      <c r="AC7" s="30"/>
      <c r="AD7" s="49">
        <v>3</v>
      </c>
      <c r="AE7" s="50">
        <f t="shared" ref="AE7:AE29" si="78">AE$5*AD7</f>
        <v>268.86</v>
      </c>
      <c r="AF7" s="50">
        <f t="shared" si="15"/>
        <v>27.087645000000002</v>
      </c>
      <c r="AG7" s="50">
        <f t="shared" si="16"/>
        <v>758.45406000000003</v>
      </c>
      <c r="AH7" s="50">
        <f t="shared" si="17"/>
        <v>812.62935000000004</v>
      </c>
      <c r="AI7" s="50">
        <f t="shared" si="18"/>
        <v>839.71699500000011</v>
      </c>
      <c r="AJ7" s="30"/>
      <c r="AK7" s="49">
        <v>3</v>
      </c>
      <c r="AL7" s="50">
        <f t="shared" ref="AL7:AL29" si="79">AL$5*AK7</f>
        <v>288.65999999999997</v>
      </c>
      <c r="AM7" s="50">
        <f t="shared" si="19"/>
        <v>29.082494999999998</v>
      </c>
      <c r="AN7" s="50">
        <f t="shared" si="20"/>
        <v>814.30985999999996</v>
      </c>
      <c r="AO7" s="50">
        <f t="shared" si="21"/>
        <v>872.47484999999995</v>
      </c>
      <c r="AP7" s="50">
        <f t="shared" si="22"/>
        <v>901.55734499999994</v>
      </c>
      <c r="AQ7" s="30"/>
      <c r="AR7" s="49">
        <v>3</v>
      </c>
      <c r="AS7" s="50">
        <f t="shared" ref="AS7:AS29" si="80">AS$5*AR7</f>
        <v>311.21999999999997</v>
      </c>
      <c r="AT7" s="50">
        <f t="shared" si="23"/>
        <v>34.750825199999994</v>
      </c>
      <c r="AU7" s="50">
        <f t="shared" si="24"/>
        <v>973.02310559999978</v>
      </c>
      <c r="AV7" s="50">
        <f t="shared" si="25"/>
        <v>1042.5247559999998</v>
      </c>
      <c r="AW7" s="50">
        <f t="shared" si="26"/>
        <v>1077.2755811999998</v>
      </c>
      <c r="AX7" s="30"/>
      <c r="AY7" s="49">
        <v>3</v>
      </c>
      <c r="AZ7" s="50">
        <f t="shared" ref="AZ7:AZ29" si="81">AZ$5*AY7</f>
        <v>0</v>
      </c>
      <c r="BA7" s="50">
        <f t="shared" si="27"/>
        <v>0</v>
      </c>
      <c r="BB7" s="50">
        <f t="shared" ref="BB7:BB29" si="82">BA7*28</f>
        <v>0</v>
      </c>
      <c r="BC7" s="50">
        <f t="shared" si="28"/>
        <v>0</v>
      </c>
      <c r="BD7" s="50">
        <f t="shared" si="29"/>
        <v>0</v>
      </c>
      <c r="BE7" s="30"/>
      <c r="BF7" s="49">
        <v>3</v>
      </c>
      <c r="BG7" s="50">
        <f t="shared" ref="BG7:BG29" si="83">BG$5*BF7</f>
        <v>0</v>
      </c>
      <c r="BH7" s="50">
        <f t="shared" si="30"/>
        <v>0</v>
      </c>
      <c r="BI7" s="50">
        <f t="shared" si="31"/>
        <v>0</v>
      </c>
      <c r="BJ7" s="50">
        <f t="shared" si="32"/>
        <v>0</v>
      </c>
      <c r="BK7" s="50">
        <f t="shared" si="33"/>
        <v>0</v>
      </c>
      <c r="BL7" s="30"/>
      <c r="BM7" s="49">
        <v>3</v>
      </c>
      <c r="BN7" s="50">
        <f t="shared" ref="BN7:BN29" si="84">BN$5*BM7</f>
        <v>0</v>
      </c>
      <c r="BO7" s="50">
        <f t="shared" si="34"/>
        <v>0</v>
      </c>
      <c r="BP7" s="50">
        <f t="shared" si="35"/>
        <v>0</v>
      </c>
      <c r="BQ7" s="50">
        <f t="shared" si="36"/>
        <v>0</v>
      </c>
      <c r="BR7" s="50">
        <f t="shared" si="37"/>
        <v>0</v>
      </c>
      <c r="BS7" s="30"/>
      <c r="BT7" s="49">
        <v>3</v>
      </c>
      <c r="BU7" s="50">
        <f t="shared" ref="BU7:BU29" si="85">BU$5*BT7</f>
        <v>0</v>
      </c>
      <c r="BV7" s="50">
        <f t="shared" si="38"/>
        <v>0</v>
      </c>
      <c r="BW7" s="50">
        <f t="shared" si="39"/>
        <v>0</v>
      </c>
      <c r="BX7" s="50">
        <f t="shared" si="40"/>
        <v>0</v>
      </c>
      <c r="BY7" s="50">
        <f t="shared" si="41"/>
        <v>0</v>
      </c>
      <c r="BZ7" s="30"/>
      <c r="CA7" s="49">
        <v>3</v>
      </c>
      <c r="CB7" s="50">
        <f t="shared" ref="CB7:CB29" si="86">CB$5*CA7</f>
        <v>0</v>
      </c>
      <c r="CC7" s="50">
        <f t="shared" si="42"/>
        <v>0</v>
      </c>
      <c r="CD7" s="50">
        <f t="shared" ref="CD7:CD29" si="87">CC7*28</f>
        <v>0</v>
      </c>
      <c r="CE7" s="50">
        <f t="shared" si="43"/>
        <v>0</v>
      </c>
      <c r="CF7" s="50">
        <f t="shared" si="44"/>
        <v>0</v>
      </c>
      <c r="CG7" s="30"/>
      <c r="CH7" s="49">
        <v>3</v>
      </c>
      <c r="CI7" s="50">
        <f t="shared" ref="CI7:CI29" si="88">CI$5*CH7</f>
        <v>0</v>
      </c>
      <c r="CJ7" s="50">
        <f t="shared" si="45"/>
        <v>0</v>
      </c>
      <c r="CK7" s="50">
        <f t="shared" si="46"/>
        <v>0</v>
      </c>
      <c r="CL7" s="50">
        <f t="shared" si="47"/>
        <v>0</v>
      </c>
      <c r="CM7" s="50">
        <f t="shared" si="48"/>
        <v>0</v>
      </c>
      <c r="CN7" s="30"/>
      <c r="CO7" s="49">
        <v>3</v>
      </c>
      <c r="CP7" s="50">
        <f t="shared" ref="CP7:CP29" si="89">CP$5*CO7</f>
        <v>0</v>
      </c>
      <c r="CQ7" s="50">
        <f t="shared" si="49"/>
        <v>0</v>
      </c>
      <c r="CR7" s="50">
        <f t="shared" si="50"/>
        <v>0</v>
      </c>
      <c r="CS7" s="50">
        <f t="shared" si="51"/>
        <v>0</v>
      </c>
      <c r="CT7" s="50">
        <f t="shared" si="52"/>
        <v>0</v>
      </c>
      <c r="CU7" s="30"/>
      <c r="CV7" s="49">
        <v>3</v>
      </c>
      <c r="CW7" s="50">
        <f t="shared" ref="CW7:CW29" si="90">CW$5*CV7</f>
        <v>0</v>
      </c>
      <c r="CX7" s="50">
        <f t="shared" si="53"/>
        <v>0</v>
      </c>
      <c r="CY7" s="50">
        <f t="shared" si="54"/>
        <v>0</v>
      </c>
      <c r="CZ7" s="50">
        <f t="shared" si="55"/>
        <v>0</v>
      </c>
      <c r="DA7" s="50">
        <f t="shared" si="56"/>
        <v>0</v>
      </c>
      <c r="DB7" s="30"/>
      <c r="DC7" s="49">
        <v>3</v>
      </c>
      <c r="DD7" s="50">
        <f t="shared" ref="DD7:DD29" si="91">DD$5*DC7</f>
        <v>0</v>
      </c>
      <c r="DE7" s="50">
        <f t="shared" si="57"/>
        <v>0</v>
      </c>
      <c r="DF7" s="50">
        <f t="shared" si="58"/>
        <v>0</v>
      </c>
      <c r="DG7" s="50">
        <f t="shared" si="59"/>
        <v>0</v>
      </c>
      <c r="DH7" s="50">
        <f t="shared" si="60"/>
        <v>0</v>
      </c>
      <c r="DI7" s="30"/>
      <c r="DJ7" s="49">
        <v>3</v>
      </c>
      <c r="DK7" s="50">
        <f t="shared" ref="DK7:DK29" si="92">DK$5*DJ7</f>
        <v>0</v>
      </c>
      <c r="DL7" s="50">
        <f t="shared" si="61"/>
        <v>0</v>
      </c>
      <c r="DM7" s="50">
        <f t="shared" si="62"/>
        <v>0</v>
      </c>
      <c r="DN7" s="50">
        <f t="shared" si="63"/>
        <v>0</v>
      </c>
      <c r="DO7" s="50">
        <f t="shared" si="64"/>
        <v>0</v>
      </c>
      <c r="DP7" s="30"/>
      <c r="DQ7" s="49">
        <v>3</v>
      </c>
      <c r="DR7" s="50">
        <f t="shared" ref="DR7:DR29" si="93">DR$5*DQ7</f>
        <v>0</v>
      </c>
      <c r="DS7" s="50">
        <f t="shared" si="65"/>
        <v>0</v>
      </c>
      <c r="DT7" s="50">
        <f t="shared" si="66"/>
        <v>0</v>
      </c>
      <c r="DU7" s="50">
        <f t="shared" si="67"/>
        <v>0</v>
      </c>
      <c r="DV7" s="50">
        <f t="shared" si="68"/>
        <v>0</v>
      </c>
      <c r="DW7" s="30"/>
      <c r="DX7" s="49">
        <v>3</v>
      </c>
      <c r="DY7" s="50">
        <f t="shared" ref="DY7:DY29" si="94">DY$5*DX7</f>
        <v>0</v>
      </c>
      <c r="DZ7" s="50">
        <f t="shared" si="69"/>
        <v>0</v>
      </c>
      <c r="EA7" s="50">
        <f t="shared" si="70"/>
        <v>0</v>
      </c>
      <c r="EB7" s="50">
        <f t="shared" si="71"/>
        <v>0</v>
      </c>
      <c r="EC7" s="50">
        <f t="shared" si="72"/>
        <v>0</v>
      </c>
    </row>
    <row r="8" spans="2:133" x14ac:dyDescent="0.75">
      <c r="B8" s="49">
        <v>4</v>
      </c>
      <c r="C8" s="50">
        <f t="shared" si="73"/>
        <v>301.95999999999998</v>
      </c>
      <c r="D8" s="50">
        <f t="shared" si="0"/>
        <v>30.422470000000001</v>
      </c>
      <c r="E8" s="50">
        <f t="shared" si="1"/>
        <v>851.82916</v>
      </c>
      <c r="F8" s="50">
        <f t="shared" si="2"/>
        <v>912.67410000000007</v>
      </c>
      <c r="G8" s="50">
        <f t="shared" si="3"/>
        <v>943.09657000000004</v>
      </c>
      <c r="H8" s="30"/>
      <c r="I8" s="49">
        <v>4</v>
      </c>
      <c r="J8" s="50">
        <f t="shared" si="74"/>
        <v>322.39999999999998</v>
      </c>
      <c r="K8" s="50">
        <f t="shared" si="4"/>
        <v>32.4818</v>
      </c>
      <c r="L8" s="50">
        <f t="shared" si="5"/>
        <v>909.49040000000002</v>
      </c>
      <c r="M8" s="50">
        <f t="shared" si="6"/>
        <v>974.45399999999995</v>
      </c>
      <c r="N8" s="50">
        <f t="shared" si="7"/>
        <v>1006.9358</v>
      </c>
      <c r="O8" s="30"/>
      <c r="P8" s="49">
        <v>4</v>
      </c>
      <c r="Q8" s="50">
        <f t="shared" si="75"/>
        <v>337.96</v>
      </c>
      <c r="R8" s="50">
        <f t="shared" si="8"/>
        <v>34.049469999999999</v>
      </c>
      <c r="S8" s="50">
        <f t="shared" si="9"/>
        <v>953.38516000000004</v>
      </c>
      <c r="T8" s="50">
        <f t="shared" si="10"/>
        <v>1021.4841</v>
      </c>
      <c r="U8" s="50">
        <f t="shared" si="11"/>
        <v>1055.5335700000001</v>
      </c>
      <c r="V8" s="30"/>
      <c r="W8" s="49">
        <v>4</v>
      </c>
      <c r="X8" s="50">
        <f t="shared" si="76"/>
        <v>347.52</v>
      </c>
      <c r="Y8" s="50">
        <f t="shared" si="12"/>
        <v>35.012639999999998</v>
      </c>
      <c r="Z8" s="50">
        <f t="shared" si="77"/>
        <v>980.3539199999999</v>
      </c>
      <c r="AA8" s="50">
        <f t="shared" si="13"/>
        <v>1050.3791999999999</v>
      </c>
      <c r="AB8" s="50">
        <f t="shared" si="14"/>
        <v>1085.39184</v>
      </c>
      <c r="AC8" s="30"/>
      <c r="AD8" s="49">
        <v>4</v>
      </c>
      <c r="AE8" s="50">
        <f t="shared" si="78"/>
        <v>358.48</v>
      </c>
      <c r="AF8" s="50">
        <f t="shared" si="15"/>
        <v>36.116860000000003</v>
      </c>
      <c r="AG8" s="50">
        <f t="shared" si="16"/>
        <v>1011.2720800000001</v>
      </c>
      <c r="AH8" s="50">
        <f t="shared" si="17"/>
        <v>1083.5058000000001</v>
      </c>
      <c r="AI8" s="50">
        <f t="shared" si="18"/>
        <v>1119.62266</v>
      </c>
      <c r="AJ8" s="30"/>
      <c r="AK8" s="49">
        <v>4</v>
      </c>
      <c r="AL8" s="50">
        <f t="shared" si="79"/>
        <v>384.88</v>
      </c>
      <c r="AM8" s="50">
        <f t="shared" si="19"/>
        <v>38.77666</v>
      </c>
      <c r="AN8" s="50">
        <f t="shared" si="20"/>
        <v>1085.74648</v>
      </c>
      <c r="AO8" s="50">
        <f t="shared" si="21"/>
        <v>1163.2998</v>
      </c>
      <c r="AP8" s="50">
        <f t="shared" si="22"/>
        <v>1202.07646</v>
      </c>
      <c r="AQ8" s="30"/>
      <c r="AR8" s="49">
        <v>4</v>
      </c>
      <c r="AS8" s="50">
        <f t="shared" si="80"/>
        <v>414.96</v>
      </c>
      <c r="AT8" s="50">
        <f t="shared" si="23"/>
        <v>46.334433599999997</v>
      </c>
      <c r="AU8" s="50">
        <f t="shared" si="24"/>
        <v>1297.3641407999999</v>
      </c>
      <c r="AV8" s="50">
        <f t="shared" si="25"/>
        <v>1390.0330079999999</v>
      </c>
      <c r="AW8" s="50">
        <f t="shared" si="26"/>
        <v>1436.3674415999999</v>
      </c>
      <c r="AX8" s="30"/>
      <c r="AY8" s="49">
        <v>4</v>
      </c>
      <c r="AZ8" s="50">
        <f t="shared" si="81"/>
        <v>0</v>
      </c>
      <c r="BA8" s="50">
        <f t="shared" si="27"/>
        <v>0</v>
      </c>
      <c r="BB8" s="50">
        <f t="shared" si="82"/>
        <v>0</v>
      </c>
      <c r="BC8" s="50">
        <f t="shared" si="28"/>
        <v>0</v>
      </c>
      <c r="BD8" s="50">
        <f t="shared" si="29"/>
        <v>0</v>
      </c>
      <c r="BE8" s="30"/>
      <c r="BF8" s="49">
        <v>4</v>
      </c>
      <c r="BG8" s="50">
        <f t="shared" si="83"/>
        <v>0</v>
      </c>
      <c r="BH8" s="50">
        <f t="shared" si="30"/>
        <v>0</v>
      </c>
      <c r="BI8" s="50">
        <f t="shared" si="31"/>
        <v>0</v>
      </c>
      <c r="BJ8" s="50">
        <f t="shared" si="32"/>
        <v>0</v>
      </c>
      <c r="BK8" s="50">
        <f t="shared" si="33"/>
        <v>0</v>
      </c>
      <c r="BL8" s="30"/>
      <c r="BM8" s="49">
        <v>4</v>
      </c>
      <c r="BN8" s="50">
        <f t="shared" si="84"/>
        <v>0</v>
      </c>
      <c r="BO8" s="50">
        <f t="shared" si="34"/>
        <v>0</v>
      </c>
      <c r="BP8" s="50">
        <f t="shared" si="35"/>
        <v>0</v>
      </c>
      <c r="BQ8" s="50">
        <f t="shared" si="36"/>
        <v>0</v>
      </c>
      <c r="BR8" s="50">
        <f t="shared" si="37"/>
        <v>0</v>
      </c>
      <c r="BS8" s="30"/>
      <c r="BT8" s="49">
        <v>4</v>
      </c>
      <c r="BU8" s="50">
        <f t="shared" si="85"/>
        <v>0</v>
      </c>
      <c r="BV8" s="50">
        <f t="shared" si="38"/>
        <v>0</v>
      </c>
      <c r="BW8" s="50">
        <f t="shared" si="39"/>
        <v>0</v>
      </c>
      <c r="BX8" s="50">
        <f t="shared" si="40"/>
        <v>0</v>
      </c>
      <c r="BY8" s="50">
        <f t="shared" si="41"/>
        <v>0</v>
      </c>
      <c r="BZ8" s="30"/>
      <c r="CA8" s="49">
        <v>4</v>
      </c>
      <c r="CB8" s="50">
        <f t="shared" si="86"/>
        <v>0</v>
      </c>
      <c r="CC8" s="50">
        <f t="shared" si="42"/>
        <v>0</v>
      </c>
      <c r="CD8" s="50">
        <f t="shared" si="87"/>
        <v>0</v>
      </c>
      <c r="CE8" s="50">
        <f t="shared" si="43"/>
        <v>0</v>
      </c>
      <c r="CF8" s="50">
        <f t="shared" si="44"/>
        <v>0</v>
      </c>
      <c r="CG8" s="30"/>
      <c r="CH8" s="49">
        <v>4</v>
      </c>
      <c r="CI8" s="50">
        <f t="shared" si="88"/>
        <v>0</v>
      </c>
      <c r="CJ8" s="50">
        <f t="shared" si="45"/>
        <v>0</v>
      </c>
      <c r="CK8" s="50">
        <f t="shared" si="46"/>
        <v>0</v>
      </c>
      <c r="CL8" s="50">
        <f t="shared" si="47"/>
        <v>0</v>
      </c>
      <c r="CM8" s="50">
        <f t="shared" si="48"/>
        <v>0</v>
      </c>
      <c r="CN8" s="30"/>
      <c r="CO8" s="49">
        <v>4</v>
      </c>
      <c r="CP8" s="50">
        <f t="shared" si="89"/>
        <v>0</v>
      </c>
      <c r="CQ8" s="50">
        <f t="shared" si="49"/>
        <v>0</v>
      </c>
      <c r="CR8" s="50">
        <f t="shared" si="50"/>
        <v>0</v>
      </c>
      <c r="CS8" s="50">
        <f t="shared" si="51"/>
        <v>0</v>
      </c>
      <c r="CT8" s="50">
        <f t="shared" si="52"/>
        <v>0</v>
      </c>
      <c r="CU8" s="30"/>
      <c r="CV8" s="49">
        <v>4</v>
      </c>
      <c r="CW8" s="50">
        <f t="shared" si="90"/>
        <v>0</v>
      </c>
      <c r="CX8" s="50">
        <f t="shared" si="53"/>
        <v>0</v>
      </c>
      <c r="CY8" s="50">
        <f t="shared" si="54"/>
        <v>0</v>
      </c>
      <c r="CZ8" s="50">
        <f t="shared" si="55"/>
        <v>0</v>
      </c>
      <c r="DA8" s="50">
        <f t="shared" si="56"/>
        <v>0</v>
      </c>
      <c r="DB8" s="30"/>
      <c r="DC8" s="49">
        <v>4</v>
      </c>
      <c r="DD8" s="50">
        <f t="shared" si="91"/>
        <v>0</v>
      </c>
      <c r="DE8" s="50">
        <f t="shared" si="57"/>
        <v>0</v>
      </c>
      <c r="DF8" s="50">
        <f t="shared" si="58"/>
        <v>0</v>
      </c>
      <c r="DG8" s="50">
        <f t="shared" si="59"/>
        <v>0</v>
      </c>
      <c r="DH8" s="50">
        <f t="shared" si="60"/>
        <v>0</v>
      </c>
      <c r="DI8" s="30"/>
      <c r="DJ8" s="49">
        <v>4</v>
      </c>
      <c r="DK8" s="50">
        <f t="shared" si="92"/>
        <v>0</v>
      </c>
      <c r="DL8" s="50">
        <f t="shared" si="61"/>
        <v>0</v>
      </c>
      <c r="DM8" s="50">
        <f t="shared" si="62"/>
        <v>0</v>
      </c>
      <c r="DN8" s="50">
        <f t="shared" si="63"/>
        <v>0</v>
      </c>
      <c r="DO8" s="50">
        <f t="shared" si="64"/>
        <v>0</v>
      </c>
      <c r="DP8" s="30"/>
      <c r="DQ8" s="49">
        <v>4</v>
      </c>
      <c r="DR8" s="50">
        <f t="shared" si="93"/>
        <v>0</v>
      </c>
      <c r="DS8" s="50">
        <f t="shared" si="65"/>
        <v>0</v>
      </c>
      <c r="DT8" s="50">
        <f t="shared" si="66"/>
        <v>0</v>
      </c>
      <c r="DU8" s="50">
        <f t="shared" si="67"/>
        <v>0</v>
      </c>
      <c r="DV8" s="50">
        <f t="shared" si="68"/>
        <v>0</v>
      </c>
      <c r="DW8" s="30"/>
      <c r="DX8" s="49">
        <v>4</v>
      </c>
      <c r="DY8" s="50">
        <f t="shared" si="94"/>
        <v>0</v>
      </c>
      <c r="DZ8" s="50">
        <f t="shared" si="69"/>
        <v>0</v>
      </c>
      <c r="EA8" s="50">
        <f t="shared" si="70"/>
        <v>0</v>
      </c>
      <c r="EB8" s="50">
        <f t="shared" si="71"/>
        <v>0</v>
      </c>
      <c r="EC8" s="50">
        <f t="shared" si="72"/>
        <v>0</v>
      </c>
    </row>
    <row r="9" spans="2:133" x14ac:dyDescent="0.75">
      <c r="B9" s="49">
        <v>5</v>
      </c>
      <c r="C9" s="50">
        <f t="shared" si="73"/>
        <v>377.45</v>
      </c>
      <c r="D9" s="50">
        <f t="shared" si="0"/>
        <v>38.028087499999998</v>
      </c>
      <c r="E9" s="50">
        <f t="shared" si="1"/>
        <v>1064.7864500000001</v>
      </c>
      <c r="F9" s="50">
        <f t="shared" si="2"/>
        <v>1140.842625</v>
      </c>
      <c r="G9" s="50">
        <f t="shared" si="3"/>
        <v>1178.8707124999999</v>
      </c>
      <c r="H9" s="30"/>
      <c r="I9" s="49">
        <v>5</v>
      </c>
      <c r="J9" s="50">
        <f t="shared" si="74"/>
        <v>403</v>
      </c>
      <c r="K9" s="50">
        <f t="shared" si="4"/>
        <v>40.602250000000005</v>
      </c>
      <c r="L9" s="50">
        <f t="shared" si="5"/>
        <v>1136.8630000000001</v>
      </c>
      <c r="M9" s="50">
        <f t="shared" si="6"/>
        <v>1218.0675000000001</v>
      </c>
      <c r="N9" s="50">
        <f t="shared" si="7"/>
        <v>1258.6697500000002</v>
      </c>
      <c r="O9" s="30"/>
      <c r="P9" s="49">
        <v>5</v>
      </c>
      <c r="Q9" s="50">
        <f t="shared" si="75"/>
        <v>422.45</v>
      </c>
      <c r="R9" s="50">
        <f t="shared" si="8"/>
        <v>42.561837500000003</v>
      </c>
      <c r="S9" s="50">
        <f t="shared" si="9"/>
        <v>1191.73145</v>
      </c>
      <c r="T9" s="50">
        <f t="shared" si="10"/>
        <v>1276.855125</v>
      </c>
      <c r="U9" s="50">
        <f t="shared" si="11"/>
        <v>1319.4169625000002</v>
      </c>
      <c r="V9" s="30"/>
      <c r="W9" s="49">
        <v>5</v>
      </c>
      <c r="X9" s="50">
        <f t="shared" si="76"/>
        <v>434.4</v>
      </c>
      <c r="Y9" s="50">
        <f t="shared" si="12"/>
        <v>43.765799999999999</v>
      </c>
      <c r="Z9" s="50">
        <f t="shared" si="77"/>
        <v>1225.4423999999999</v>
      </c>
      <c r="AA9" s="50">
        <f t="shared" si="13"/>
        <v>1312.9739999999999</v>
      </c>
      <c r="AB9" s="50">
        <f t="shared" si="14"/>
        <v>1356.7398000000001</v>
      </c>
      <c r="AC9" s="30"/>
      <c r="AD9" s="49">
        <v>5</v>
      </c>
      <c r="AE9" s="50">
        <f t="shared" si="78"/>
        <v>448.1</v>
      </c>
      <c r="AF9" s="50">
        <f t="shared" si="15"/>
        <v>45.146075000000003</v>
      </c>
      <c r="AG9" s="50">
        <f t="shared" si="16"/>
        <v>1264.0901000000001</v>
      </c>
      <c r="AH9" s="50">
        <f t="shared" si="17"/>
        <v>1354.3822500000001</v>
      </c>
      <c r="AI9" s="50">
        <f t="shared" si="18"/>
        <v>1399.528325</v>
      </c>
      <c r="AJ9" s="30"/>
      <c r="AK9" s="49">
        <v>5</v>
      </c>
      <c r="AL9" s="50">
        <f t="shared" si="79"/>
        <v>481.1</v>
      </c>
      <c r="AM9" s="50">
        <f t="shared" si="19"/>
        <v>48.470825000000005</v>
      </c>
      <c r="AN9" s="50">
        <f t="shared" si="20"/>
        <v>1357.1831000000002</v>
      </c>
      <c r="AO9" s="50">
        <f t="shared" si="21"/>
        <v>1454.1247500000002</v>
      </c>
      <c r="AP9" s="50">
        <f t="shared" si="22"/>
        <v>1502.5955750000001</v>
      </c>
      <c r="AQ9" s="30"/>
      <c r="AR9" s="49">
        <v>5</v>
      </c>
      <c r="AS9" s="50">
        <f t="shared" si="80"/>
        <v>518.69999999999993</v>
      </c>
      <c r="AT9" s="50">
        <f t="shared" si="23"/>
        <v>57.918041999999993</v>
      </c>
      <c r="AU9" s="50">
        <f t="shared" si="24"/>
        <v>1621.7051759999997</v>
      </c>
      <c r="AV9" s="50">
        <f t="shared" si="25"/>
        <v>1737.5412599999997</v>
      </c>
      <c r="AW9" s="50">
        <f t="shared" si="26"/>
        <v>1795.4593019999998</v>
      </c>
      <c r="AX9" s="30"/>
      <c r="AY9" s="49">
        <v>5</v>
      </c>
      <c r="AZ9" s="50">
        <f t="shared" si="81"/>
        <v>0</v>
      </c>
      <c r="BA9" s="50">
        <f t="shared" si="27"/>
        <v>0</v>
      </c>
      <c r="BB9" s="50">
        <f t="shared" si="82"/>
        <v>0</v>
      </c>
      <c r="BC9" s="50">
        <f t="shared" si="28"/>
        <v>0</v>
      </c>
      <c r="BD9" s="50">
        <f t="shared" si="29"/>
        <v>0</v>
      </c>
      <c r="BE9" s="30"/>
      <c r="BF9" s="49">
        <v>5</v>
      </c>
      <c r="BG9" s="50">
        <f t="shared" si="83"/>
        <v>0</v>
      </c>
      <c r="BH9" s="50">
        <f t="shared" si="30"/>
        <v>0</v>
      </c>
      <c r="BI9" s="50">
        <f t="shared" si="31"/>
        <v>0</v>
      </c>
      <c r="BJ9" s="50">
        <f t="shared" si="32"/>
        <v>0</v>
      </c>
      <c r="BK9" s="50">
        <f t="shared" si="33"/>
        <v>0</v>
      </c>
      <c r="BL9" s="30"/>
      <c r="BM9" s="49">
        <v>5</v>
      </c>
      <c r="BN9" s="50">
        <f t="shared" si="84"/>
        <v>0</v>
      </c>
      <c r="BO9" s="50">
        <f t="shared" si="34"/>
        <v>0</v>
      </c>
      <c r="BP9" s="50">
        <f t="shared" si="35"/>
        <v>0</v>
      </c>
      <c r="BQ9" s="50">
        <f t="shared" si="36"/>
        <v>0</v>
      </c>
      <c r="BR9" s="50">
        <f t="shared" si="37"/>
        <v>0</v>
      </c>
      <c r="BS9" s="30"/>
      <c r="BT9" s="49">
        <v>5</v>
      </c>
      <c r="BU9" s="50">
        <f t="shared" si="85"/>
        <v>0</v>
      </c>
      <c r="BV9" s="50">
        <f t="shared" si="38"/>
        <v>0</v>
      </c>
      <c r="BW9" s="50">
        <f t="shared" si="39"/>
        <v>0</v>
      </c>
      <c r="BX9" s="50">
        <f t="shared" si="40"/>
        <v>0</v>
      </c>
      <c r="BY9" s="50">
        <f t="shared" si="41"/>
        <v>0</v>
      </c>
      <c r="BZ9" s="30"/>
      <c r="CA9" s="49">
        <v>5</v>
      </c>
      <c r="CB9" s="50">
        <f t="shared" si="86"/>
        <v>0</v>
      </c>
      <c r="CC9" s="50">
        <f t="shared" si="42"/>
        <v>0</v>
      </c>
      <c r="CD9" s="50">
        <f t="shared" si="87"/>
        <v>0</v>
      </c>
      <c r="CE9" s="50">
        <f t="shared" si="43"/>
        <v>0</v>
      </c>
      <c r="CF9" s="50">
        <f t="shared" si="44"/>
        <v>0</v>
      </c>
      <c r="CG9" s="30"/>
      <c r="CH9" s="49">
        <v>5</v>
      </c>
      <c r="CI9" s="50">
        <f t="shared" si="88"/>
        <v>0</v>
      </c>
      <c r="CJ9" s="50">
        <f t="shared" si="45"/>
        <v>0</v>
      </c>
      <c r="CK9" s="50">
        <f t="shared" si="46"/>
        <v>0</v>
      </c>
      <c r="CL9" s="50">
        <f t="shared" si="47"/>
        <v>0</v>
      </c>
      <c r="CM9" s="50">
        <f t="shared" si="48"/>
        <v>0</v>
      </c>
      <c r="CN9" s="30"/>
      <c r="CO9" s="49">
        <v>5</v>
      </c>
      <c r="CP9" s="50">
        <f t="shared" si="89"/>
        <v>0</v>
      </c>
      <c r="CQ9" s="50">
        <f t="shared" si="49"/>
        <v>0</v>
      </c>
      <c r="CR9" s="50">
        <f t="shared" si="50"/>
        <v>0</v>
      </c>
      <c r="CS9" s="50">
        <f t="shared" si="51"/>
        <v>0</v>
      </c>
      <c r="CT9" s="50">
        <f t="shared" si="52"/>
        <v>0</v>
      </c>
      <c r="CU9" s="30"/>
      <c r="CV9" s="49">
        <v>5</v>
      </c>
      <c r="CW9" s="50">
        <f t="shared" si="90"/>
        <v>0</v>
      </c>
      <c r="CX9" s="50">
        <f t="shared" si="53"/>
        <v>0</v>
      </c>
      <c r="CY9" s="50">
        <f t="shared" si="54"/>
        <v>0</v>
      </c>
      <c r="CZ9" s="50">
        <f t="shared" si="55"/>
        <v>0</v>
      </c>
      <c r="DA9" s="50">
        <f t="shared" si="56"/>
        <v>0</v>
      </c>
      <c r="DB9" s="30"/>
      <c r="DC9" s="49">
        <v>5</v>
      </c>
      <c r="DD9" s="50">
        <f t="shared" si="91"/>
        <v>0</v>
      </c>
      <c r="DE9" s="50">
        <f t="shared" si="57"/>
        <v>0</v>
      </c>
      <c r="DF9" s="50">
        <f t="shared" si="58"/>
        <v>0</v>
      </c>
      <c r="DG9" s="50">
        <f t="shared" si="59"/>
        <v>0</v>
      </c>
      <c r="DH9" s="50">
        <f t="shared" si="60"/>
        <v>0</v>
      </c>
      <c r="DI9" s="30"/>
      <c r="DJ9" s="49">
        <v>5</v>
      </c>
      <c r="DK9" s="50">
        <f t="shared" si="92"/>
        <v>0</v>
      </c>
      <c r="DL9" s="50">
        <f t="shared" si="61"/>
        <v>0</v>
      </c>
      <c r="DM9" s="50">
        <f t="shared" si="62"/>
        <v>0</v>
      </c>
      <c r="DN9" s="50">
        <f t="shared" si="63"/>
        <v>0</v>
      </c>
      <c r="DO9" s="50">
        <f t="shared" si="64"/>
        <v>0</v>
      </c>
      <c r="DP9" s="30"/>
      <c r="DQ9" s="49">
        <v>5</v>
      </c>
      <c r="DR9" s="50">
        <f t="shared" si="93"/>
        <v>0</v>
      </c>
      <c r="DS9" s="50">
        <f t="shared" si="65"/>
        <v>0</v>
      </c>
      <c r="DT9" s="50">
        <f t="shared" si="66"/>
        <v>0</v>
      </c>
      <c r="DU9" s="50">
        <f t="shared" si="67"/>
        <v>0</v>
      </c>
      <c r="DV9" s="50">
        <f t="shared" si="68"/>
        <v>0</v>
      </c>
      <c r="DW9" s="30"/>
      <c r="DX9" s="49">
        <v>5</v>
      </c>
      <c r="DY9" s="50">
        <f t="shared" si="94"/>
        <v>0</v>
      </c>
      <c r="DZ9" s="50">
        <f t="shared" si="69"/>
        <v>0</v>
      </c>
      <c r="EA9" s="50">
        <f t="shared" si="70"/>
        <v>0</v>
      </c>
      <c r="EB9" s="50">
        <f t="shared" si="71"/>
        <v>0</v>
      </c>
      <c r="EC9" s="50">
        <f t="shared" si="72"/>
        <v>0</v>
      </c>
    </row>
    <row r="10" spans="2:133" x14ac:dyDescent="0.75">
      <c r="B10" s="49">
        <v>6</v>
      </c>
      <c r="C10" s="50">
        <f t="shared" si="73"/>
        <v>452.93999999999994</v>
      </c>
      <c r="D10" s="50">
        <f t="shared" si="0"/>
        <v>45.633704999999999</v>
      </c>
      <c r="E10" s="50">
        <f t="shared" si="1"/>
        <v>1277.7437399999999</v>
      </c>
      <c r="F10" s="50">
        <f t="shared" si="2"/>
        <v>1369.01115</v>
      </c>
      <c r="G10" s="50">
        <f t="shared" si="3"/>
        <v>1414.644855</v>
      </c>
      <c r="H10" s="30"/>
      <c r="I10" s="49">
        <v>6</v>
      </c>
      <c r="J10" s="50">
        <f t="shared" si="74"/>
        <v>483.59999999999997</v>
      </c>
      <c r="K10" s="50">
        <f t="shared" si="4"/>
        <v>48.722699999999996</v>
      </c>
      <c r="L10" s="50">
        <f t="shared" si="5"/>
        <v>1364.2356</v>
      </c>
      <c r="M10" s="50">
        <f t="shared" si="6"/>
        <v>1461.6809999999998</v>
      </c>
      <c r="N10" s="50">
        <f t="shared" si="7"/>
        <v>1510.4036999999998</v>
      </c>
      <c r="O10" s="30"/>
      <c r="P10" s="49">
        <v>6</v>
      </c>
      <c r="Q10" s="50">
        <f t="shared" si="75"/>
        <v>506.93999999999994</v>
      </c>
      <c r="R10" s="50">
        <f t="shared" si="8"/>
        <v>51.074204999999999</v>
      </c>
      <c r="S10" s="50">
        <f t="shared" si="9"/>
        <v>1430.0777399999999</v>
      </c>
      <c r="T10" s="50">
        <f t="shared" si="10"/>
        <v>1532.22615</v>
      </c>
      <c r="U10" s="50">
        <f t="shared" si="11"/>
        <v>1583.3003550000001</v>
      </c>
      <c r="V10" s="30"/>
      <c r="W10" s="49">
        <v>6</v>
      </c>
      <c r="X10" s="50">
        <f t="shared" si="76"/>
        <v>521.28</v>
      </c>
      <c r="Y10" s="50">
        <f t="shared" si="12"/>
        <v>52.51896</v>
      </c>
      <c r="Z10" s="50">
        <f t="shared" si="77"/>
        <v>1470.53088</v>
      </c>
      <c r="AA10" s="50">
        <f t="shared" si="13"/>
        <v>1575.5688</v>
      </c>
      <c r="AB10" s="50">
        <f t="shared" si="14"/>
        <v>1628.0877599999999</v>
      </c>
      <c r="AC10" s="30"/>
      <c r="AD10" s="49">
        <v>6</v>
      </c>
      <c r="AE10" s="50">
        <f t="shared" si="78"/>
        <v>537.72</v>
      </c>
      <c r="AF10" s="50">
        <f t="shared" si="15"/>
        <v>54.175290000000004</v>
      </c>
      <c r="AG10" s="50">
        <f t="shared" si="16"/>
        <v>1516.9081200000001</v>
      </c>
      <c r="AH10" s="50">
        <f t="shared" si="17"/>
        <v>1625.2587000000001</v>
      </c>
      <c r="AI10" s="50">
        <f t="shared" si="18"/>
        <v>1679.4339900000002</v>
      </c>
      <c r="AJ10" s="30"/>
      <c r="AK10" s="49">
        <v>6</v>
      </c>
      <c r="AL10" s="50">
        <f t="shared" si="79"/>
        <v>577.31999999999994</v>
      </c>
      <c r="AM10" s="50">
        <f t="shared" si="19"/>
        <v>58.164989999999996</v>
      </c>
      <c r="AN10" s="50">
        <f t="shared" si="20"/>
        <v>1628.6197199999999</v>
      </c>
      <c r="AO10" s="50">
        <f t="shared" si="21"/>
        <v>1744.9496999999999</v>
      </c>
      <c r="AP10" s="50">
        <f t="shared" si="22"/>
        <v>1803.1146899999999</v>
      </c>
      <c r="AQ10" s="30"/>
      <c r="AR10" s="49">
        <v>6</v>
      </c>
      <c r="AS10" s="50">
        <f t="shared" si="80"/>
        <v>622.43999999999994</v>
      </c>
      <c r="AT10" s="50">
        <f t="shared" si="23"/>
        <v>69.501650399999988</v>
      </c>
      <c r="AU10" s="50">
        <f t="shared" si="24"/>
        <v>1946.0462111999996</v>
      </c>
      <c r="AV10" s="50">
        <f t="shared" si="25"/>
        <v>2085.0495119999996</v>
      </c>
      <c r="AW10" s="50">
        <f t="shared" si="26"/>
        <v>2154.5511623999996</v>
      </c>
      <c r="AX10" s="30"/>
      <c r="AY10" s="49">
        <v>6</v>
      </c>
      <c r="AZ10" s="50">
        <f t="shared" si="81"/>
        <v>0</v>
      </c>
      <c r="BA10" s="50">
        <f t="shared" si="27"/>
        <v>0</v>
      </c>
      <c r="BB10" s="50">
        <f t="shared" si="82"/>
        <v>0</v>
      </c>
      <c r="BC10" s="50">
        <f t="shared" si="28"/>
        <v>0</v>
      </c>
      <c r="BD10" s="50">
        <f t="shared" si="29"/>
        <v>0</v>
      </c>
      <c r="BE10" s="30"/>
      <c r="BF10" s="49">
        <v>6</v>
      </c>
      <c r="BG10" s="50">
        <f t="shared" si="83"/>
        <v>0</v>
      </c>
      <c r="BH10" s="50">
        <f t="shared" si="30"/>
        <v>0</v>
      </c>
      <c r="BI10" s="50">
        <f t="shared" si="31"/>
        <v>0</v>
      </c>
      <c r="BJ10" s="50">
        <f t="shared" si="32"/>
        <v>0</v>
      </c>
      <c r="BK10" s="50">
        <f t="shared" si="33"/>
        <v>0</v>
      </c>
      <c r="BL10" s="30"/>
      <c r="BM10" s="49">
        <v>6</v>
      </c>
      <c r="BN10" s="50">
        <f t="shared" si="84"/>
        <v>0</v>
      </c>
      <c r="BO10" s="50">
        <f t="shared" si="34"/>
        <v>0</v>
      </c>
      <c r="BP10" s="50">
        <f t="shared" si="35"/>
        <v>0</v>
      </c>
      <c r="BQ10" s="50">
        <f t="shared" si="36"/>
        <v>0</v>
      </c>
      <c r="BR10" s="50">
        <f t="shared" si="37"/>
        <v>0</v>
      </c>
      <c r="BS10" s="30"/>
      <c r="BT10" s="49">
        <v>6</v>
      </c>
      <c r="BU10" s="50">
        <f t="shared" si="85"/>
        <v>0</v>
      </c>
      <c r="BV10" s="50">
        <f t="shared" si="38"/>
        <v>0</v>
      </c>
      <c r="BW10" s="50">
        <f t="shared" si="39"/>
        <v>0</v>
      </c>
      <c r="BX10" s="50">
        <f t="shared" si="40"/>
        <v>0</v>
      </c>
      <c r="BY10" s="50">
        <f t="shared" si="41"/>
        <v>0</v>
      </c>
      <c r="BZ10" s="30"/>
      <c r="CA10" s="49">
        <v>6</v>
      </c>
      <c r="CB10" s="50">
        <f t="shared" si="86"/>
        <v>0</v>
      </c>
      <c r="CC10" s="50">
        <f t="shared" si="42"/>
        <v>0</v>
      </c>
      <c r="CD10" s="50">
        <f t="shared" si="87"/>
        <v>0</v>
      </c>
      <c r="CE10" s="50">
        <f t="shared" si="43"/>
        <v>0</v>
      </c>
      <c r="CF10" s="50">
        <f t="shared" si="44"/>
        <v>0</v>
      </c>
      <c r="CG10" s="30"/>
      <c r="CH10" s="49">
        <v>6</v>
      </c>
      <c r="CI10" s="50">
        <f t="shared" si="88"/>
        <v>0</v>
      </c>
      <c r="CJ10" s="50">
        <f t="shared" si="45"/>
        <v>0</v>
      </c>
      <c r="CK10" s="50">
        <f t="shared" si="46"/>
        <v>0</v>
      </c>
      <c r="CL10" s="50">
        <f t="shared" si="47"/>
        <v>0</v>
      </c>
      <c r="CM10" s="50">
        <f t="shared" si="48"/>
        <v>0</v>
      </c>
      <c r="CN10" s="30"/>
      <c r="CO10" s="49">
        <v>6</v>
      </c>
      <c r="CP10" s="50">
        <f t="shared" si="89"/>
        <v>0</v>
      </c>
      <c r="CQ10" s="50">
        <f t="shared" si="49"/>
        <v>0</v>
      </c>
      <c r="CR10" s="50">
        <f t="shared" si="50"/>
        <v>0</v>
      </c>
      <c r="CS10" s="50">
        <f t="shared" si="51"/>
        <v>0</v>
      </c>
      <c r="CT10" s="50">
        <f t="shared" si="52"/>
        <v>0</v>
      </c>
      <c r="CU10" s="30"/>
      <c r="CV10" s="49">
        <v>6</v>
      </c>
      <c r="CW10" s="50">
        <f t="shared" si="90"/>
        <v>0</v>
      </c>
      <c r="CX10" s="50">
        <f t="shared" si="53"/>
        <v>0</v>
      </c>
      <c r="CY10" s="50">
        <f t="shared" si="54"/>
        <v>0</v>
      </c>
      <c r="CZ10" s="50">
        <f t="shared" si="55"/>
        <v>0</v>
      </c>
      <c r="DA10" s="50">
        <f t="shared" si="56"/>
        <v>0</v>
      </c>
      <c r="DB10" s="30"/>
      <c r="DC10" s="49">
        <v>6</v>
      </c>
      <c r="DD10" s="50">
        <f t="shared" si="91"/>
        <v>0</v>
      </c>
      <c r="DE10" s="50">
        <f t="shared" si="57"/>
        <v>0</v>
      </c>
      <c r="DF10" s="50">
        <f t="shared" si="58"/>
        <v>0</v>
      </c>
      <c r="DG10" s="50">
        <f t="shared" si="59"/>
        <v>0</v>
      </c>
      <c r="DH10" s="50">
        <f t="shared" si="60"/>
        <v>0</v>
      </c>
      <c r="DI10" s="30"/>
      <c r="DJ10" s="49">
        <v>6</v>
      </c>
      <c r="DK10" s="50">
        <f t="shared" si="92"/>
        <v>0</v>
      </c>
      <c r="DL10" s="50">
        <f t="shared" si="61"/>
        <v>0</v>
      </c>
      <c r="DM10" s="50">
        <f t="shared" si="62"/>
        <v>0</v>
      </c>
      <c r="DN10" s="50">
        <f t="shared" si="63"/>
        <v>0</v>
      </c>
      <c r="DO10" s="50">
        <f t="shared" si="64"/>
        <v>0</v>
      </c>
      <c r="DP10" s="30"/>
      <c r="DQ10" s="49">
        <v>6</v>
      </c>
      <c r="DR10" s="50">
        <f t="shared" si="93"/>
        <v>0</v>
      </c>
      <c r="DS10" s="50">
        <f t="shared" si="65"/>
        <v>0</v>
      </c>
      <c r="DT10" s="50">
        <f t="shared" si="66"/>
        <v>0</v>
      </c>
      <c r="DU10" s="50">
        <f t="shared" si="67"/>
        <v>0</v>
      </c>
      <c r="DV10" s="50">
        <f t="shared" si="68"/>
        <v>0</v>
      </c>
      <c r="DW10" s="30"/>
      <c r="DX10" s="49">
        <v>6</v>
      </c>
      <c r="DY10" s="50">
        <f t="shared" si="94"/>
        <v>0</v>
      </c>
      <c r="DZ10" s="50">
        <f t="shared" si="69"/>
        <v>0</v>
      </c>
      <c r="EA10" s="50">
        <f t="shared" si="70"/>
        <v>0</v>
      </c>
      <c r="EB10" s="50">
        <f t="shared" si="71"/>
        <v>0</v>
      </c>
      <c r="EC10" s="50">
        <f t="shared" si="72"/>
        <v>0</v>
      </c>
    </row>
    <row r="11" spans="2:133" x14ac:dyDescent="0.75">
      <c r="B11" s="49">
        <v>7</v>
      </c>
      <c r="C11" s="50">
        <f t="shared" si="73"/>
        <v>528.42999999999995</v>
      </c>
      <c r="D11" s="50">
        <f t="shared" si="0"/>
        <v>53.2393225</v>
      </c>
      <c r="E11" s="50">
        <f t="shared" si="1"/>
        <v>1490.7010299999999</v>
      </c>
      <c r="F11" s="50">
        <f t="shared" si="2"/>
        <v>1597.1796750000001</v>
      </c>
      <c r="G11" s="50">
        <f t="shared" si="3"/>
        <v>1650.4189974999999</v>
      </c>
      <c r="H11" s="30"/>
      <c r="I11" s="49">
        <v>7</v>
      </c>
      <c r="J11" s="50">
        <f t="shared" si="74"/>
        <v>564.19999999999993</v>
      </c>
      <c r="K11" s="50">
        <f t="shared" si="4"/>
        <v>56.843149999999994</v>
      </c>
      <c r="L11" s="50">
        <f t="shared" si="5"/>
        <v>1591.6081999999999</v>
      </c>
      <c r="M11" s="50">
        <f t="shared" si="6"/>
        <v>1705.2944999999997</v>
      </c>
      <c r="N11" s="50">
        <f t="shared" si="7"/>
        <v>1762.1376499999999</v>
      </c>
      <c r="O11" s="30"/>
      <c r="P11" s="49">
        <v>7</v>
      </c>
      <c r="Q11" s="50">
        <f t="shared" si="75"/>
        <v>591.42999999999995</v>
      </c>
      <c r="R11" s="50">
        <f t="shared" si="8"/>
        <v>59.586572499999996</v>
      </c>
      <c r="S11" s="50">
        <f t="shared" si="9"/>
        <v>1668.4240299999999</v>
      </c>
      <c r="T11" s="50">
        <f t="shared" si="10"/>
        <v>1787.5971749999999</v>
      </c>
      <c r="U11" s="50">
        <f t="shared" si="11"/>
        <v>1847.1837474999998</v>
      </c>
      <c r="V11" s="30"/>
      <c r="W11" s="49">
        <v>7</v>
      </c>
      <c r="X11" s="50">
        <f t="shared" si="76"/>
        <v>608.16</v>
      </c>
      <c r="Y11" s="50">
        <f t="shared" si="12"/>
        <v>61.272120000000001</v>
      </c>
      <c r="Z11" s="50">
        <f t="shared" si="77"/>
        <v>1715.6193600000001</v>
      </c>
      <c r="AA11" s="50">
        <f t="shared" si="13"/>
        <v>1838.1636000000001</v>
      </c>
      <c r="AB11" s="50">
        <f t="shared" si="14"/>
        <v>1899.4357199999999</v>
      </c>
      <c r="AC11" s="30"/>
      <c r="AD11" s="49">
        <v>7</v>
      </c>
      <c r="AE11" s="50">
        <f t="shared" si="78"/>
        <v>627.34</v>
      </c>
      <c r="AF11" s="50">
        <f t="shared" si="15"/>
        <v>63.204505000000005</v>
      </c>
      <c r="AG11" s="50">
        <f t="shared" si="16"/>
        <v>1769.7261400000002</v>
      </c>
      <c r="AH11" s="50">
        <f t="shared" si="17"/>
        <v>1896.1351500000001</v>
      </c>
      <c r="AI11" s="50">
        <f t="shared" si="18"/>
        <v>1959.3396550000002</v>
      </c>
      <c r="AJ11" s="30"/>
      <c r="AK11" s="49">
        <v>7</v>
      </c>
      <c r="AL11" s="50">
        <f t="shared" si="79"/>
        <v>673.54</v>
      </c>
      <c r="AM11" s="50">
        <f t="shared" si="19"/>
        <v>67.859155000000001</v>
      </c>
      <c r="AN11" s="50">
        <f t="shared" si="20"/>
        <v>1900.0563400000001</v>
      </c>
      <c r="AO11" s="50">
        <f t="shared" si="21"/>
        <v>2035.7746500000001</v>
      </c>
      <c r="AP11" s="50">
        <f t="shared" si="22"/>
        <v>2103.6338049999999</v>
      </c>
      <c r="AQ11" s="30"/>
      <c r="AR11" s="49">
        <v>7</v>
      </c>
      <c r="AS11" s="50">
        <f t="shared" si="80"/>
        <v>726.18</v>
      </c>
      <c r="AT11" s="50">
        <f t="shared" si="23"/>
        <v>81.085258799999991</v>
      </c>
      <c r="AU11" s="50">
        <f t="shared" si="24"/>
        <v>2270.3872463999996</v>
      </c>
      <c r="AV11" s="50">
        <f t="shared" si="25"/>
        <v>2432.5577639999997</v>
      </c>
      <c r="AW11" s="50">
        <f t="shared" si="26"/>
        <v>2513.6430227999999</v>
      </c>
      <c r="AX11" s="30"/>
      <c r="AY11" s="49">
        <v>7</v>
      </c>
      <c r="AZ11" s="50">
        <f t="shared" si="81"/>
        <v>0</v>
      </c>
      <c r="BA11" s="50">
        <f t="shared" si="27"/>
        <v>0</v>
      </c>
      <c r="BB11" s="50">
        <f t="shared" si="82"/>
        <v>0</v>
      </c>
      <c r="BC11" s="50">
        <f t="shared" si="28"/>
        <v>0</v>
      </c>
      <c r="BD11" s="50">
        <f t="shared" si="29"/>
        <v>0</v>
      </c>
      <c r="BE11" s="30"/>
      <c r="BF11" s="49">
        <v>7</v>
      </c>
      <c r="BG11" s="50">
        <f t="shared" si="83"/>
        <v>0</v>
      </c>
      <c r="BH11" s="50">
        <f t="shared" si="30"/>
        <v>0</v>
      </c>
      <c r="BI11" s="50">
        <f t="shared" si="31"/>
        <v>0</v>
      </c>
      <c r="BJ11" s="50">
        <f t="shared" si="32"/>
        <v>0</v>
      </c>
      <c r="BK11" s="50">
        <f t="shared" si="33"/>
        <v>0</v>
      </c>
      <c r="BL11" s="30"/>
      <c r="BM11" s="49">
        <v>7</v>
      </c>
      <c r="BN11" s="50">
        <f t="shared" si="84"/>
        <v>0</v>
      </c>
      <c r="BO11" s="50">
        <f t="shared" si="34"/>
        <v>0</v>
      </c>
      <c r="BP11" s="50">
        <f t="shared" si="35"/>
        <v>0</v>
      </c>
      <c r="BQ11" s="50">
        <f t="shared" si="36"/>
        <v>0</v>
      </c>
      <c r="BR11" s="50">
        <f t="shared" si="37"/>
        <v>0</v>
      </c>
      <c r="BS11" s="30"/>
      <c r="BT11" s="49">
        <v>7</v>
      </c>
      <c r="BU11" s="50">
        <f t="shared" si="85"/>
        <v>0</v>
      </c>
      <c r="BV11" s="50">
        <f t="shared" si="38"/>
        <v>0</v>
      </c>
      <c r="BW11" s="50">
        <f t="shared" si="39"/>
        <v>0</v>
      </c>
      <c r="BX11" s="50">
        <f t="shared" si="40"/>
        <v>0</v>
      </c>
      <c r="BY11" s="50">
        <f t="shared" si="41"/>
        <v>0</v>
      </c>
      <c r="BZ11" s="30"/>
      <c r="CA11" s="49">
        <v>7</v>
      </c>
      <c r="CB11" s="50">
        <f t="shared" si="86"/>
        <v>0</v>
      </c>
      <c r="CC11" s="50">
        <f t="shared" si="42"/>
        <v>0</v>
      </c>
      <c r="CD11" s="50">
        <f t="shared" si="87"/>
        <v>0</v>
      </c>
      <c r="CE11" s="50">
        <f t="shared" si="43"/>
        <v>0</v>
      </c>
      <c r="CF11" s="50">
        <f t="shared" si="44"/>
        <v>0</v>
      </c>
      <c r="CG11" s="30"/>
      <c r="CH11" s="49">
        <v>7</v>
      </c>
      <c r="CI11" s="50">
        <f t="shared" si="88"/>
        <v>0</v>
      </c>
      <c r="CJ11" s="50">
        <f t="shared" si="45"/>
        <v>0</v>
      </c>
      <c r="CK11" s="50">
        <f t="shared" si="46"/>
        <v>0</v>
      </c>
      <c r="CL11" s="50">
        <f t="shared" si="47"/>
        <v>0</v>
      </c>
      <c r="CM11" s="50">
        <f t="shared" si="48"/>
        <v>0</v>
      </c>
      <c r="CN11" s="30"/>
      <c r="CO11" s="49">
        <v>7</v>
      </c>
      <c r="CP11" s="50">
        <f t="shared" si="89"/>
        <v>0</v>
      </c>
      <c r="CQ11" s="50">
        <f t="shared" si="49"/>
        <v>0</v>
      </c>
      <c r="CR11" s="50">
        <f t="shared" si="50"/>
        <v>0</v>
      </c>
      <c r="CS11" s="50">
        <f t="shared" si="51"/>
        <v>0</v>
      </c>
      <c r="CT11" s="50">
        <f t="shared" si="52"/>
        <v>0</v>
      </c>
      <c r="CU11" s="30"/>
      <c r="CV11" s="49">
        <v>7</v>
      </c>
      <c r="CW11" s="50">
        <f t="shared" si="90"/>
        <v>0</v>
      </c>
      <c r="CX11" s="50">
        <f t="shared" si="53"/>
        <v>0</v>
      </c>
      <c r="CY11" s="50">
        <f t="shared" si="54"/>
        <v>0</v>
      </c>
      <c r="CZ11" s="50">
        <f t="shared" si="55"/>
        <v>0</v>
      </c>
      <c r="DA11" s="50">
        <f t="shared" si="56"/>
        <v>0</v>
      </c>
      <c r="DB11" s="30"/>
      <c r="DC11" s="49">
        <v>7</v>
      </c>
      <c r="DD11" s="50">
        <f t="shared" si="91"/>
        <v>0</v>
      </c>
      <c r="DE11" s="50">
        <f t="shared" si="57"/>
        <v>0</v>
      </c>
      <c r="DF11" s="50">
        <f t="shared" si="58"/>
        <v>0</v>
      </c>
      <c r="DG11" s="50">
        <f t="shared" si="59"/>
        <v>0</v>
      </c>
      <c r="DH11" s="50">
        <f t="shared" si="60"/>
        <v>0</v>
      </c>
      <c r="DI11" s="30"/>
      <c r="DJ11" s="49">
        <v>7</v>
      </c>
      <c r="DK11" s="50">
        <f t="shared" si="92"/>
        <v>0</v>
      </c>
      <c r="DL11" s="50">
        <f t="shared" si="61"/>
        <v>0</v>
      </c>
      <c r="DM11" s="50">
        <f t="shared" si="62"/>
        <v>0</v>
      </c>
      <c r="DN11" s="50">
        <f t="shared" si="63"/>
        <v>0</v>
      </c>
      <c r="DO11" s="50">
        <f t="shared" si="64"/>
        <v>0</v>
      </c>
      <c r="DP11" s="30"/>
      <c r="DQ11" s="49">
        <v>7</v>
      </c>
      <c r="DR11" s="50">
        <f t="shared" si="93"/>
        <v>0</v>
      </c>
      <c r="DS11" s="50">
        <f t="shared" si="65"/>
        <v>0</v>
      </c>
      <c r="DT11" s="50">
        <f t="shared" si="66"/>
        <v>0</v>
      </c>
      <c r="DU11" s="50">
        <f t="shared" si="67"/>
        <v>0</v>
      </c>
      <c r="DV11" s="50">
        <f t="shared" si="68"/>
        <v>0</v>
      </c>
      <c r="DW11" s="30"/>
      <c r="DX11" s="49">
        <v>7</v>
      </c>
      <c r="DY11" s="50">
        <f t="shared" si="94"/>
        <v>0</v>
      </c>
      <c r="DZ11" s="50">
        <f t="shared" si="69"/>
        <v>0</v>
      </c>
      <c r="EA11" s="50">
        <f t="shared" si="70"/>
        <v>0</v>
      </c>
      <c r="EB11" s="50">
        <f t="shared" si="71"/>
        <v>0</v>
      </c>
      <c r="EC11" s="50">
        <f t="shared" si="72"/>
        <v>0</v>
      </c>
    </row>
    <row r="12" spans="2:133" x14ac:dyDescent="0.75">
      <c r="B12" s="49">
        <v>8</v>
      </c>
      <c r="C12" s="50">
        <f t="shared" si="73"/>
        <v>603.91999999999996</v>
      </c>
      <c r="D12" s="50">
        <f t="shared" si="0"/>
        <v>60.844940000000001</v>
      </c>
      <c r="E12" s="50">
        <f t="shared" si="1"/>
        <v>1703.65832</v>
      </c>
      <c r="F12" s="50">
        <f t="shared" si="2"/>
        <v>1825.3482000000001</v>
      </c>
      <c r="G12" s="50">
        <f t="shared" si="3"/>
        <v>1886.1931400000001</v>
      </c>
      <c r="H12" s="30"/>
      <c r="I12" s="49">
        <v>8</v>
      </c>
      <c r="J12" s="50">
        <f t="shared" si="74"/>
        <v>644.79999999999995</v>
      </c>
      <c r="K12" s="50">
        <f t="shared" si="4"/>
        <v>64.9636</v>
      </c>
      <c r="L12" s="50">
        <f t="shared" si="5"/>
        <v>1818.9808</v>
      </c>
      <c r="M12" s="50">
        <f t="shared" si="6"/>
        <v>1948.9079999999999</v>
      </c>
      <c r="N12" s="50">
        <f t="shared" si="7"/>
        <v>2013.8715999999999</v>
      </c>
      <c r="O12" s="30"/>
      <c r="P12" s="49">
        <v>8</v>
      </c>
      <c r="Q12" s="50">
        <f t="shared" si="75"/>
        <v>675.92</v>
      </c>
      <c r="R12" s="50">
        <f t="shared" si="8"/>
        <v>68.098939999999999</v>
      </c>
      <c r="S12" s="50">
        <f t="shared" si="9"/>
        <v>1906.7703200000001</v>
      </c>
      <c r="T12" s="50">
        <f t="shared" si="10"/>
        <v>2042.9682</v>
      </c>
      <c r="U12" s="50">
        <f t="shared" si="11"/>
        <v>2111.0671400000001</v>
      </c>
      <c r="V12" s="30"/>
      <c r="W12" s="49">
        <v>8</v>
      </c>
      <c r="X12" s="50">
        <f t="shared" si="76"/>
        <v>695.04</v>
      </c>
      <c r="Y12" s="50">
        <f t="shared" si="12"/>
        <v>70.025279999999995</v>
      </c>
      <c r="Z12" s="50">
        <f t="shared" si="77"/>
        <v>1960.7078399999998</v>
      </c>
      <c r="AA12" s="50">
        <f t="shared" si="13"/>
        <v>2100.7583999999997</v>
      </c>
      <c r="AB12" s="50">
        <f t="shared" si="14"/>
        <v>2170.78368</v>
      </c>
      <c r="AC12" s="30"/>
      <c r="AD12" s="49">
        <v>8</v>
      </c>
      <c r="AE12" s="50">
        <f t="shared" si="78"/>
        <v>716.96</v>
      </c>
      <c r="AF12" s="50">
        <f t="shared" si="15"/>
        <v>72.233720000000005</v>
      </c>
      <c r="AG12" s="50">
        <f t="shared" si="16"/>
        <v>2022.5441600000001</v>
      </c>
      <c r="AH12" s="50">
        <f t="shared" si="17"/>
        <v>2167.0116000000003</v>
      </c>
      <c r="AI12" s="50">
        <f t="shared" si="18"/>
        <v>2239.24532</v>
      </c>
      <c r="AJ12" s="30"/>
      <c r="AK12" s="49">
        <v>8</v>
      </c>
      <c r="AL12" s="50">
        <f t="shared" si="79"/>
        <v>769.76</v>
      </c>
      <c r="AM12" s="50">
        <f t="shared" si="19"/>
        <v>77.553319999999999</v>
      </c>
      <c r="AN12" s="50">
        <f t="shared" si="20"/>
        <v>2171.49296</v>
      </c>
      <c r="AO12" s="50">
        <f t="shared" si="21"/>
        <v>2326.5996</v>
      </c>
      <c r="AP12" s="50">
        <f t="shared" si="22"/>
        <v>2404.15292</v>
      </c>
      <c r="AQ12" s="30"/>
      <c r="AR12" s="49">
        <v>8</v>
      </c>
      <c r="AS12" s="50">
        <f t="shared" si="80"/>
        <v>829.92</v>
      </c>
      <c r="AT12" s="50">
        <f t="shared" si="23"/>
        <v>92.668867199999994</v>
      </c>
      <c r="AU12" s="50">
        <f t="shared" si="24"/>
        <v>2594.7282815999997</v>
      </c>
      <c r="AV12" s="50">
        <f t="shared" si="25"/>
        <v>2780.0660159999998</v>
      </c>
      <c r="AW12" s="50">
        <f t="shared" si="26"/>
        <v>2872.7348831999998</v>
      </c>
      <c r="AX12" s="30"/>
      <c r="AY12" s="49">
        <v>8</v>
      </c>
      <c r="AZ12" s="50">
        <f t="shared" si="81"/>
        <v>0</v>
      </c>
      <c r="BA12" s="50">
        <f t="shared" si="27"/>
        <v>0</v>
      </c>
      <c r="BB12" s="50">
        <f t="shared" si="82"/>
        <v>0</v>
      </c>
      <c r="BC12" s="50">
        <f t="shared" si="28"/>
        <v>0</v>
      </c>
      <c r="BD12" s="50">
        <f t="shared" si="29"/>
        <v>0</v>
      </c>
      <c r="BE12" s="30"/>
      <c r="BF12" s="49">
        <v>8</v>
      </c>
      <c r="BG12" s="50">
        <f t="shared" si="83"/>
        <v>0</v>
      </c>
      <c r="BH12" s="50">
        <f t="shared" si="30"/>
        <v>0</v>
      </c>
      <c r="BI12" s="50">
        <f t="shared" si="31"/>
        <v>0</v>
      </c>
      <c r="BJ12" s="50">
        <f t="shared" si="32"/>
        <v>0</v>
      </c>
      <c r="BK12" s="50">
        <f t="shared" si="33"/>
        <v>0</v>
      </c>
      <c r="BL12" s="30"/>
      <c r="BM12" s="49">
        <v>8</v>
      </c>
      <c r="BN12" s="50">
        <f t="shared" si="84"/>
        <v>0</v>
      </c>
      <c r="BO12" s="50">
        <f t="shared" si="34"/>
        <v>0</v>
      </c>
      <c r="BP12" s="50">
        <f t="shared" si="35"/>
        <v>0</v>
      </c>
      <c r="BQ12" s="50">
        <f t="shared" si="36"/>
        <v>0</v>
      </c>
      <c r="BR12" s="50">
        <f t="shared" si="37"/>
        <v>0</v>
      </c>
      <c r="BS12" s="30"/>
      <c r="BT12" s="49">
        <v>8</v>
      </c>
      <c r="BU12" s="50">
        <f t="shared" si="85"/>
        <v>0</v>
      </c>
      <c r="BV12" s="50">
        <f t="shared" si="38"/>
        <v>0</v>
      </c>
      <c r="BW12" s="50">
        <f t="shared" si="39"/>
        <v>0</v>
      </c>
      <c r="BX12" s="50">
        <f t="shared" si="40"/>
        <v>0</v>
      </c>
      <c r="BY12" s="50">
        <f t="shared" si="41"/>
        <v>0</v>
      </c>
      <c r="BZ12" s="30"/>
      <c r="CA12" s="49">
        <v>8</v>
      </c>
      <c r="CB12" s="50">
        <f t="shared" si="86"/>
        <v>0</v>
      </c>
      <c r="CC12" s="50">
        <f t="shared" si="42"/>
        <v>0</v>
      </c>
      <c r="CD12" s="50">
        <f t="shared" si="87"/>
        <v>0</v>
      </c>
      <c r="CE12" s="50">
        <f t="shared" si="43"/>
        <v>0</v>
      </c>
      <c r="CF12" s="50">
        <f t="shared" si="44"/>
        <v>0</v>
      </c>
      <c r="CG12" s="30"/>
      <c r="CH12" s="49">
        <v>8</v>
      </c>
      <c r="CI12" s="50">
        <f t="shared" si="88"/>
        <v>0</v>
      </c>
      <c r="CJ12" s="50">
        <f t="shared" si="45"/>
        <v>0</v>
      </c>
      <c r="CK12" s="50">
        <f t="shared" si="46"/>
        <v>0</v>
      </c>
      <c r="CL12" s="50">
        <f t="shared" si="47"/>
        <v>0</v>
      </c>
      <c r="CM12" s="50">
        <f t="shared" si="48"/>
        <v>0</v>
      </c>
      <c r="CN12" s="30"/>
      <c r="CO12" s="49">
        <v>8</v>
      </c>
      <c r="CP12" s="50">
        <f t="shared" si="89"/>
        <v>0</v>
      </c>
      <c r="CQ12" s="50">
        <f t="shared" si="49"/>
        <v>0</v>
      </c>
      <c r="CR12" s="50">
        <f t="shared" si="50"/>
        <v>0</v>
      </c>
      <c r="CS12" s="50">
        <f t="shared" si="51"/>
        <v>0</v>
      </c>
      <c r="CT12" s="50">
        <f t="shared" si="52"/>
        <v>0</v>
      </c>
      <c r="CU12" s="30"/>
      <c r="CV12" s="49">
        <v>8</v>
      </c>
      <c r="CW12" s="50">
        <f t="shared" si="90"/>
        <v>0</v>
      </c>
      <c r="CX12" s="50">
        <f t="shared" si="53"/>
        <v>0</v>
      </c>
      <c r="CY12" s="50">
        <f t="shared" si="54"/>
        <v>0</v>
      </c>
      <c r="CZ12" s="50">
        <f t="shared" si="55"/>
        <v>0</v>
      </c>
      <c r="DA12" s="50">
        <f t="shared" si="56"/>
        <v>0</v>
      </c>
      <c r="DB12" s="30"/>
      <c r="DC12" s="49">
        <v>8</v>
      </c>
      <c r="DD12" s="50">
        <f t="shared" si="91"/>
        <v>0</v>
      </c>
      <c r="DE12" s="50">
        <f t="shared" si="57"/>
        <v>0</v>
      </c>
      <c r="DF12" s="50">
        <f t="shared" si="58"/>
        <v>0</v>
      </c>
      <c r="DG12" s="50">
        <f t="shared" si="59"/>
        <v>0</v>
      </c>
      <c r="DH12" s="50">
        <f t="shared" si="60"/>
        <v>0</v>
      </c>
      <c r="DI12" s="30"/>
      <c r="DJ12" s="49">
        <v>8</v>
      </c>
      <c r="DK12" s="50">
        <f t="shared" si="92"/>
        <v>0</v>
      </c>
      <c r="DL12" s="50">
        <f t="shared" si="61"/>
        <v>0</v>
      </c>
      <c r="DM12" s="50">
        <f t="shared" si="62"/>
        <v>0</v>
      </c>
      <c r="DN12" s="50">
        <f t="shared" si="63"/>
        <v>0</v>
      </c>
      <c r="DO12" s="50">
        <f t="shared" si="64"/>
        <v>0</v>
      </c>
      <c r="DP12" s="30"/>
      <c r="DQ12" s="49">
        <v>8</v>
      </c>
      <c r="DR12" s="50">
        <f t="shared" si="93"/>
        <v>0</v>
      </c>
      <c r="DS12" s="50">
        <f t="shared" si="65"/>
        <v>0</v>
      </c>
      <c r="DT12" s="50">
        <f t="shared" si="66"/>
        <v>0</v>
      </c>
      <c r="DU12" s="50">
        <f t="shared" si="67"/>
        <v>0</v>
      </c>
      <c r="DV12" s="50">
        <f t="shared" si="68"/>
        <v>0</v>
      </c>
      <c r="DW12" s="30"/>
      <c r="DX12" s="49">
        <v>8</v>
      </c>
      <c r="DY12" s="50">
        <f t="shared" si="94"/>
        <v>0</v>
      </c>
      <c r="DZ12" s="50">
        <f t="shared" si="69"/>
        <v>0</v>
      </c>
      <c r="EA12" s="50">
        <f t="shared" si="70"/>
        <v>0</v>
      </c>
      <c r="EB12" s="50">
        <f t="shared" si="71"/>
        <v>0</v>
      </c>
      <c r="EC12" s="50">
        <f t="shared" si="72"/>
        <v>0</v>
      </c>
    </row>
    <row r="13" spans="2:133" x14ac:dyDescent="0.75">
      <c r="B13" s="49">
        <v>9</v>
      </c>
      <c r="C13" s="50">
        <f t="shared" si="73"/>
        <v>679.41</v>
      </c>
      <c r="D13" s="50">
        <f t="shared" si="0"/>
        <v>68.450557500000002</v>
      </c>
      <c r="E13" s="50">
        <f t="shared" si="1"/>
        <v>1916.6156100000001</v>
      </c>
      <c r="F13" s="50">
        <f t="shared" si="2"/>
        <v>2053.516725</v>
      </c>
      <c r="G13" s="50">
        <f t="shared" si="3"/>
        <v>2121.9672825000002</v>
      </c>
      <c r="H13" s="30"/>
      <c r="I13" s="49">
        <v>9</v>
      </c>
      <c r="J13" s="50">
        <f t="shared" si="74"/>
        <v>725.4</v>
      </c>
      <c r="K13" s="50">
        <f t="shared" si="4"/>
        <v>73.084050000000005</v>
      </c>
      <c r="L13" s="50">
        <f t="shared" si="5"/>
        <v>2046.3534000000002</v>
      </c>
      <c r="M13" s="50">
        <f t="shared" si="6"/>
        <v>2192.5215000000003</v>
      </c>
      <c r="N13" s="50">
        <f t="shared" si="7"/>
        <v>2265.6055500000002</v>
      </c>
      <c r="O13" s="30"/>
      <c r="P13" s="49">
        <v>9</v>
      </c>
      <c r="Q13" s="50">
        <f t="shared" si="75"/>
        <v>760.41</v>
      </c>
      <c r="R13" s="50">
        <f t="shared" si="8"/>
        <v>76.611307499999995</v>
      </c>
      <c r="S13" s="50">
        <f t="shared" si="9"/>
        <v>2145.11661</v>
      </c>
      <c r="T13" s="50">
        <f t="shared" si="10"/>
        <v>2298.3392249999997</v>
      </c>
      <c r="U13" s="50">
        <f t="shared" si="11"/>
        <v>2374.9505325</v>
      </c>
      <c r="V13" s="30"/>
      <c r="W13" s="49">
        <v>9</v>
      </c>
      <c r="X13" s="50">
        <f t="shared" si="76"/>
        <v>781.92</v>
      </c>
      <c r="Y13" s="50">
        <f t="shared" si="12"/>
        <v>78.778440000000003</v>
      </c>
      <c r="Z13" s="50">
        <f t="shared" si="77"/>
        <v>2205.7963199999999</v>
      </c>
      <c r="AA13" s="50">
        <f t="shared" si="13"/>
        <v>2363.3532</v>
      </c>
      <c r="AB13" s="50">
        <f t="shared" si="14"/>
        <v>2442.1316400000001</v>
      </c>
      <c r="AC13" s="30"/>
      <c r="AD13" s="49">
        <v>9</v>
      </c>
      <c r="AE13" s="50">
        <f t="shared" si="78"/>
        <v>806.58</v>
      </c>
      <c r="AF13" s="50">
        <f t="shared" si="15"/>
        <v>81.262935000000013</v>
      </c>
      <c r="AG13" s="50">
        <f t="shared" si="16"/>
        <v>2275.3621800000005</v>
      </c>
      <c r="AH13" s="50">
        <f t="shared" si="17"/>
        <v>2437.8880500000005</v>
      </c>
      <c r="AI13" s="50">
        <f t="shared" si="18"/>
        <v>2519.1509850000002</v>
      </c>
      <c r="AJ13" s="30"/>
      <c r="AK13" s="49">
        <v>9</v>
      </c>
      <c r="AL13" s="50">
        <f t="shared" si="79"/>
        <v>865.98</v>
      </c>
      <c r="AM13" s="50">
        <f t="shared" si="19"/>
        <v>87.247485000000012</v>
      </c>
      <c r="AN13" s="50">
        <f t="shared" si="20"/>
        <v>2442.9295800000004</v>
      </c>
      <c r="AO13" s="50">
        <f t="shared" si="21"/>
        <v>2617.4245500000002</v>
      </c>
      <c r="AP13" s="50">
        <f t="shared" si="22"/>
        <v>2704.6720350000005</v>
      </c>
      <c r="AQ13" s="30"/>
      <c r="AR13" s="49">
        <v>9</v>
      </c>
      <c r="AS13" s="50">
        <f t="shared" si="80"/>
        <v>933.66</v>
      </c>
      <c r="AT13" s="50">
        <f t="shared" si="23"/>
        <v>104.2524756</v>
      </c>
      <c r="AU13" s="50">
        <f t="shared" si="24"/>
        <v>2919.0693167999998</v>
      </c>
      <c r="AV13" s="50">
        <f t="shared" si="25"/>
        <v>3127.5742679999998</v>
      </c>
      <c r="AW13" s="50">
        <f t="shared" si="26"/>
        <v>3231.8267436000001</v>
      </c>
      <c r="AX13" s="30"/>
      <c r="AY13" s="49">
        <v>9</v>
      </c>
      <c r="AZ13" s="50">
        <f t="shared" si="81"/>
        <v>0</v>
      </c>
      <c r="BA13" s="50">
        <f t="shared" si="27"/>
        <v>0</v>
      </c>
      <c r="BB13" s="50">
        <f t="shared" si="82"/>
        <v>0</v>
      </c>
      <c r="BC13" s="50">
        <f t="shared" si="28"/>
        <v>0</v>
      </c>
      <c r="BD13" s="50">
        <f t="shared" si="29"/>
        <v>0</v>
      </c>
      <c r="BE13" s="30"/>
      <c r="BF13" s="49">
        <v>9</v>
      </c>
      <c r="BG13" s="50">
        <f t="shared" si="83"/>
        <v>0</v>
      </c>
      <c r="BH13" s="50">
        <f t="shared" si="30"/>
        <v>0</v>
      </c>
      <c r="BI13" s="50">
        <f t="shared" si="31"/>
        <v>0</v>
      </c>
      <c r="BJ13" s="50">
        <f t="shared" si="32"/>
        <v>0</v>
      </c>
      <c r="BK13" s="50">
        <f t="shared" si="33"/>
        <v>0</v>
      </c>
      <c r="BL13" s="30"/>
      <c r="BM13" s="49">
        <v>9</v>
      </c>
      <c r="BN13" s="50">
        <f t="shared" si="84"/>
        <v>0</v>
      </c>
      <c r="BO13" s="50">
        <f t="shared" si="34"/>
        <v>0</v>
      </c>
      <c r="BP13" s="50">
        <f t="shared" si="35"/>
        <v>0</v>
      </c>
      <c r="BQ13" s="50">
        <f t="shared" si="36"/>
        <v>0</v>
      </c>
      <c r="BR13" s="50">
        <f t="shared" si="37"/>
        <v>0</v>
      </c>
      <c r="BS13" s="30"/>
      <c r="BT13" s="49">
        <v>9</v>
      </c>
      <c r="BU13" s="50">
        <f t="shared" si="85"/>
        <v>0</v>
      </c>
      <c r="BV13" s="50">
        <f t="shared" si="38"/>
        <v>0</v>
      </c>
      <c r="BW13" s="50">
        <f t="shared" si="39"/>
        <v>0</v>
      </c>
      <c r="BX13" s="50">
        <f t="shared" si="40"/>
        <v>0</v>
      </c>
      <c r="BY13" s="50">
        <f t="shared" si="41"/>
        <v>0</v>
      </c>
      <c r="BZ13" s="30"/>
      <c r="CA13" s="49">
        <v>9</v>
      </c>
      <c r="CB13" s="50">
        <f t="shared" si="86"/>
        <v>0</v>
      </c>
      <c r="CC13" s="50">
        <f t="shared" si="42"/>
        <v>0</v>
      </c>
      <c r="CD13" s="50">
        <f t="shared" si="87"/>
        <v>0</v>
      </c>
      <c r="CE13" s="50">
        <f t="shared" si="43"/>
        <v>0</v>
      </c>
      <c r="CF13" s="50">
        <f t="shared" si="44"/>
        <v>0</v>
      </c>
      <c r="CG13" s="30"/>
      <c r="CH13" s="49">
        <v>9</v>
      </c>
      <c r="CI13" s="50">
        <f t="shared" si="88"/>
        <v>0</v>
      </c>
      <c r="CJ13" s="50">
        <f t="shared" si="45"/>
        <v>0</v>
      </c>
      <c r="CK13" s="50">
        <f t="shared" si="46"/>
        <v>0</v>
      </c>
      <c r="CL13" s="50">
        <f t="shared" si="47"/>
        <v>0</v>
      </c>
      <c r="CM13" s="50">
        <f t="shared" si="48"/>
        <v>0</v>
      </c>
      <c r="CN13" s="30"/>
      <c r="CO13" s="49">
        <v>9</v>
      </c>
      <c r="CP13" s="50">
        <f t="shared" si="89"/>
        <v>0</v>
      </c>
      <c r="CQ13" s="50">
        <f t="shared" si="49"/>
        <v>0</v>
      </c>
      <c r="CR13" s="50">
        <f t="shared" si="50"/>
        <v>0</v>
      </c>
      <c r="CS13" s="50">
        <f t="shared" si="51"/>
        <v>0</v>
      </c>
      <c r="CT13" s="50">
        <f t="shared" si="52"/>
        <v>0</v>
      </c>
      <c r="CU13" s="30"/>
      <c r="CV13" s="49">
        <v>9</v>
      </c>
      <c r="CW13" s="50">
        <f t="shared" si="90"/>
        <v>0</v>
      </c>
      <c r="CX13" s="50">
        <f t="shared" si="53"/>
        <v>0</v>
      </c>
      <c r="CY13" s="50">
        <f t="shared" si="54"/>
        <v>0</v>
      </c>
      <c r="CZ13" s="50">
        <f t="shared" si="55"/>
        <v>0</v>
      </c>
      <c r="DA13" s="50">
        <f t="shared" si="56"/>
        <v>0</v>
      </c>
      <c r="DB13" s="30"/>
      <c r="DC13" s="49">
        <v>9</v>
      </c>
      <c r="DD13" s="50">
        <f t="shared" si="91"/>
        <v>0</v>
      </c>
      <c r="DE13" s="50">
        <f t="shared" si="57"/>
        <v>0</v>
      </c>
      <c r="DF13" s="50">
        <f t="shared" si="58"/>
        <v>0</v>
      </c>
      <c r="DG13" s="50">
        <f t="shared" si="59"/>
        <v>0</v>
      </c>
      <c r="DH13" s="50">
        <f t="shared" si="60"/>
        <v>0</v>
      </c>
      <c r="DI13" s="30"/>
      <c r="DJ13" s="49">
        <v>9</v>
      </c>
      <c r="DK13" s="50">
        <f t="shared" si="92"/>
        <v>0</v>
      </c>
      <c r="DL13" s="50">
        <f t="shared" si="61"/>
        <v>0</v>
      </c>
      <c r="DM13" s="50">
        <f t="shared" si="62"/>
        <v>0</v>
      </c>
      <c r="DN13" s="50">
        <f t="shared" si="63"/>
        <v>0</v>
      </c>
      <c r="DO13" s="50">
        <f t="shared" si="64"/>
        <v>0</v>
      </c>
      <c r="DP13" s="30"/>
      <c r="DQ13" s="49">
        <v>9</v>
      </c>
      <c r="DR13" s="50">
        <f t="shared" si="93"/>
        <v>0</v>
      </c>
      <c r="DS13" s="50">
        <f t="shared" si="65"/>
        <v>0</v>
      </c>
      <c r="DT13" s="50">
        <f t="shared" si="66"/>
        <v>0</v>
      </c>
      <c r="DU13" s="50">
        <f t="shared" si="67"/>
        <v>0</v>
      </c>
      <c r="DV13" s="50">
        <f t="shared" si="68"/>
        <v>0</v>
      </c>
      <c r="DW13" s="30"/>
      <c r="DX13" s="49">
        <v>9</v>
      </c>
      <c r="DY13" s="50">
        <f t="shared" si="94"/>
        <v>0</v>
      </c>
      <c r="DZ13" s="50">
        <f t="shared" si="69"/>
        <v>0</v>
      </c>
      <c r="EA13" s="50">
        <f t="shared" si="70"/>
        <v>0</v>
      </c>
      <c r="EB13" s="50">
        <f t="shared" si="71"/>
        <v>0</v>
      </c>
      <c r="EC13" s="50">
        <f t="shared" si="72"/>
        <v>0</v>
      </c>
    </row>
    <row r="14" spans="2:133" x14ac:dyDescent="0.75">
      <c r="B14" s="49">
        <v>10</v>
      </c>
      <c r="C14" s="50">
        <f t="shared" si="73"/>
        <v>754.9</v>
      </c>
      <c r="D14" s="50">
        <f t="shared" si="0"/>
        <v>76.056174999999996</v>
      </c>
      <c r="E14" s="50">
        <f t="shared" si="1"/>
        <v>2129.5729000000001</v>
      </c>
      <c r="F14" s="50">
        <f t="shared" si="2"/>
        <v>2281.68525</v>
      </c>
      <c r="G14" s="50">
        <f t="shared" si="3"/>
        <v>2357.7414249999997</v>
      </c>
      <c r="H14" s="30"/>
      <c r="I14" s="49">
        <v>10</v>
      </c>
      <c r="J14" s="50">
        <f t="shared" si="74"/>
        <v>806</v>
      </c>
      <c r="K14" s="50">
        <f t="shared" si="4"/>
        <v>81.20450000000001</v>
      </c>
      <c r="L14" s="50">
        <f t="shared" si="5"/>
        <v>2273.7260000000001</v>
      </c>
      <c r="M14" s="50">
        <f t="shared" si="6"/>
        <v>2436.1350000000002</v>
      </c>
      <c r="N14" s="50">
        <f t="shared" si="7"/>
        <v>2517.3395000000005</v>
      </c>
      <c r="O14" s="30"/>
      <c r="P14" s="49">
        <v>10</v>
      </c>
      <c r="Q14" s="50">
        <f t="shared" si="75"/>
        <v>844.9</v>
      </c>
      <c r="R14" s="50">
        <f t="shared" si="8"/>
        <v>85.123675000000006</v>
      </c>
      <c r="S14" s="50">
        <f t="shared" si="9"/>
        <v>2383.4629</v>
      </c>
      <c r="T14" s="50">
        <f t="shared" si="10"/>
        <v>2553.7102500000001</v>
      </c>
      <c r="U14" s="50">
        <f t="shared" si="11"/>
        <v>2638.8339250000004</v>
      </c>
      <c r="V14" s="30"/>
      <c r="W14" s="49">
        <v>10</v>
      </c>
      <c r="X14" s="50">
        <f t="shared" si="76"/>
        <v>868.8</v>
      </c>
      <c r="Y14" s="50">
        <f t="shared" si="12"/>
        <v>87.531599999999997</v>
      </c>
      <c r="Z14" s="50">
        <f t="shared" si="77"/>
        <v>2450.8847999999998</v>
      </c>
      <c r="AA14" s="50">
        <f t="shared" si="13"/>
        <v>2625.9479999999999</v>
      </c>
      <c r="AB14" s="50">
        <f t="shared" si="14"/>
        <v>2713.4796000000001</v>
      </c>
      <c r="AC14" s="30"/>
      <c r="AD14" s="49">
        <v>10</v>
      </c>
      <c r="AE14" s="50">
        <f t="shared" si="78"/>
        <v>896.2</v>
      </c>
      <c r="AF14" s="50">
        <f t="shared" si="15"/>
        <v>90.292150000000007</v>
      </c>
      <c r="AG14" s="50">
        <f t="shared" si="16"/>
        <v>2528.1802000000002</v>
      </c>
      <c r="AH14" s="50">
        <f t="shared" si="17"/>
        <v>2708.7645000000002</v>
      </c>
      <c r="AI14" s="50">
        <f t="shared" si="18"/>
        <v>2799.05665</v>
      </c>
      <c r="AJ14" s="30"/>
      <c r="AK14" s="49">
        <v>10</v>
      </c>
      <c r="AL14" s="50">
        <f t="shared" si="79"/>
        <v>962.2</v>
      </c>
      <c r="AM14" s="50">
        <f t="shared" si="19"/>
        <v>96.94165000000001</v>
      </c>
      <c r="AN14" s="50">
        <f t="shared" si="20"/>
        <v>2714.3662000000004</v>
      </c>
      <c r="AO14" s="50">
        <f t="shared" si="21"/>
        <v>2908.2495000000004</v>
      </c>
      <c r="AP14" s="50">
        <f t="shared" si="22"/>
        <v>3005.1911500000001</v>
      </c>
      <c r="AQ14" s="30"/>
      <c r="AR14" s="49">
        <v>10</v>
      </c>
      <c r="AS14" s="50">
        <f t="shared" si="80"/>
        <v>1037.3999999999999</v>
      </c>
      <c r="AT14" s="50">
        <f t="shared" si="23"/>
        <v>115.83608399999999</v>
      </c>
      <c r="AU14" s="50">
        <f t="shared" si="24"/>
        <v>3243.4103519999994</v>
      </c>
      <c r="AV14" s="50">
        <f t="shared" si="25"/>
        <v>3475.0825199999995</v>
      </c>
      <c r="AW14" s="50">
        <f t="shared" si="26"/>
        <v>3590.9186039999995</v>
      </c>
      <c r="AX14" s="30"/>
      <c r="AY14" s="49">
        <v>10</v>
      </c>
      <c r="AZ14" s="50">
        <f t="shared" si="81"/>
        <v>0</v>
      </c>
      <c r="BA14" s="50">
        <f t="shared" si="27"/>
        <v>0</v>
      </c>
      <c r="BB14" s="50">
        <f t="shared" si="82"/>
        <v>0</v>
      </c>
      <c r="BC14" s="50">
        <f t="shared" si="28"/>
        <v>0</v>
      </c>
      <c r="BD14" s="50">
        <f t="shared" si="29"/>
        <v>0</v>
      </c>
      <c r="BE14" s="30"/>
      <c r="BF14" s="49">
        <v>10</v>
      </c>
      <c r="BG14" s="50">
        <f t="shared" si="83"/>
        <v>0</v>
      </c>
      <c r="BH14" s="50">
        <f t="shared" si="30"/>
        <v>0</v>
      </c>
      <c r="BI14" s="50">
        <f t="shared" si="31"/>
        <v>0</v>
      </c>
      <c r="BJ14" s="50">
        <f t="shared" si="32"/>
        <v>0</v>
      </c>
      <c r="BK14" s="50">
        <f t="shared" si="33"/>
        <v>0</v>
      </c>
      <c r="BL14" s="30"/>
      <c r="BM14" s="49">
        <v>10</v>
      </c>
      <c r="BN14" s="50">
        <f t="shared" si="84"/>
        <v>0</v>
      </c>
      <c r="BO14" s="50">
        <f t="shared" si="34"/>
        <v>0</v>
      </c>
      <c r="BP14" s="50">
        <f t="shared" si="35"/>
        <v>0</v>
      </c>
      <c r="BQ14" s="50">
        <f t="shared" si="36"/>
        <v>0</v>
      </c>
      <c r="BR14" s="50">
        <f t="shared" si="37"/>
        <v>0</v>
      </c>
      <c r="BS14" s="30"/>
      <c r="BT14" s="49">
        <v>10</v>
      </c>
      <c r="BU14" s="50">
        <f t="shared" si="85"/>
        <v>0</v>
      </c>
      <c r="BV14" s="50">
        <f t="shared" si="38"/>
        <v>0</v>
      </c>
      <c r="BW14" s="50">
        <f t="shared" si="39"/>
        <v>0</v>
      </c>
      <c r="BX14" s="50">
        <f t="shared" si="40"/>
        <v>0</v>
      </c>
      <c r="BY14" s="50">
        <f t="shared" si="41"/>
        <v>0</v>
      </c>
      <c r="BZ14" s="30"/>
      <c r="CA14" s="49">
        <v>10</v>
      </c>
      <c r="CB14" s="50">
        <f t="shared" si="86"/>
        <v>0</v>
      </c>
      <c r="CC14" s="50">
        <f t="shared" si="42"/>
        <v>0</v>
      </c>
      <c r="CD14" s="50">
        <f t="shared" si="87"/>
        <v>0</v>
      </c>
      <c r="CE14" s="50">
        <f t="shared" si="43"/>
        <v>0</v>
      </c>
      <c r="CF14" s="50">
        <f t="shared" si="44"/>
        <v>0</v>
      </c>
      <c r="CG14" s="30"/>
      <c r="CH14" s="49">
        <v>10</v>
      </c>
      <c r="CI14" s="50">
        <f t="shared" si="88"/>
        <v>0</v>
      </c>
      <c r="CJ14" s="50">
        <f t="shared" si="45"/>
        <v>0</v>
      </c>
      <c r="CK14" s="50">
        <f t="shared" si="46"/>
        <v>0</v>
      </c>
      <c r="CL14" s="50">
        <f t="shared" si="47"/>
        <v>0</v>
      </c>
      <c r="CM14" s="50">
        <f t="shared" si="48"/>
        <v>0</v>
      </c>
      <c r="CN14" s="30"/>
      <c r="CO14" s="49">
        <v>10</v>
      </c>
      <c r="CP14" s="50">
        <f t="shared" si="89"/>
        <v>0</v>
      </c>
      <c r="CQ14" s="50">
        <f t="shared" si="49"/>
        <v>0</v>
      </c>
      <c r="CR14" s="50">
        <f t="shared" si="50"/>
        <v>0</v>
      </c>
      <c r="CS14" s="50">
        <f t="shared" si="51"/>
        <v>0</v>
      </c>
      <c r="CT14" s="50">
        <f t="shared" si="52"/>
        <v>0</v>
      </c>
      <c r="CU14" s="30"/>
      <c r="CV14" s="49">
        <v>10</v>
      </c>
      <c r="CW14" s="50">
        <f t="shared" si="90"/>
        <v>0</v>
      </c>
      <c r="CX14" s="50">
        <f t="shared" si="53"/>
        <v>0</v>
      </c>
      <c r="CY14" s="50">
        <f t="shared" si="54"/>
        <v>0</v>
      </c>
      <c r="CZ14" s="50">
        <f t="shared" si="55"/>
        <v>0</v>
      </c>
      <c r="DA14" s="50">
        <f t="shared" si="56"/>
        <v>0</v>
      </c>
      <c r="DB14" s="30"/>
      <c r="DC14" s="49">
        <v>10</v>
      </c>
      <c r="DD14" s="50">
        <f t="shared" si="91"/>
        <v>0</v>
      </c>
      <c r="DE14" s="50">
        <f t="shared" si="57"/>
        <v>0</v>
      </c>
      <c r="DF14" s="50">
        <f t="shared" si="58"/>
        <v>0</v>
      </c>
      <c r="DG14" s="50">
        <f t="shared" si="59"/>
        <v>0</v>
      </c>
      <c r="DH14" s="50">
        <f t="shared" si="60"/>
        <v>0</v>
      </c>
      <c r="DI14" s="30"/>
      <c r="DJ14" s="49">
        <v>10</v>
      </c>
      <c r="DK14" s="50">
        <f t="shared" si="92"/>
        <v>0</v>
      </c>
      <c r="DL14" s="50">
        <f t="shared" si="61"/>
        <v>0</v>
      </c>
      <c r="DM14" s="50">
        <f t="shared" si="62"/>
        <v>0</v>
      </c>
      <c r="DN14" s="50">
        <f t="shared" si="63"/>
        <v>0</v>
      </c>
      <c r="DO14" s="50">
        <f t="shared" si="64"/>
        <v>0</v>
      </c>
      <c r="DP14" s="30"/>
      <c r="DQ14" s="49">
        <v>10</v>
      </c>
      <c r="DR14" s="50">
        <f t="shared" si="93"/>
        <v>0</v>
      </c>
      <c r="DS14" s="50">
        <f t="shared" si="65"/>
        <v>0</v>
      </c>
      <c r="DT14" s="50">
        <f t="shared" si="66"/>
        <v>0</v>
      </c>
      <c r="DU14" s="50">
        <f t="shared" si="67"/>
        <v>0</v>
      </c>
      <c r="DV14" s="50">
        <f t="shared" si="68"/>
        <v>0</v>
      </c>
      <c r="DW14" s="30"/>
      <c r="DX14" s="49">
        <v>10</v>
      </c>
      <c r="DY14" s="50">
        <f t="shared" si="94"/>
        <v>0</v>
      </c>
      <c r="DZ14" s="50">
        <f t="shared" si="69"/>
        <v>0</v>
      </c>
      <c r="EA14" s="50">
        <f t="shared" si="70"/>
        <v>0</v>
      </c>
      <c r="EB14" s="50">
        <f t="shared" si="71"/>
        <v>0</v>
      </c>
      <c r="EC14" s="50">
        <f t="shared" si="72"/>
        <v>0</v>
      </c>
    </row>
    <row r="15" spans="2:133" x14ac:dyDescent="0.75">
      <c r="B15" s="49">
        <v>11</v>
      </c>
      <c r="C15" s="50">
        <f t="shared" si="73"/>
        <v>830.39</v>
      </c>
      <c r="D15" s="50">
        <f t="shared" si="0"/>
        <v>83.661792500000004</v>
      </c>
      <c r="E15" s="50">
        <f t="shared" si="1"/>
        <v>2342.5301899999999</v>
      </c>
      <c r="F15" s="50">
        <f t="shared" si="2"/>
        <v>2509.853775</v>
      </c>
      <c r="G15" s="50">
        <f t="shared" si="3"/>
        <v>2593.5155675000001</v>
      </c>
      <c r="H15" s="30"/>
      <c r="I15" s="49">
        <v>11</v>
      </c>
      <c r="J15" s="50">
        <f t="shared" si="74"/>
        <v>886.59999999999991</v>
      </c>
      <c r="K15" s="50">
        <f t="shared" si="4"/>
        <v>89.324950000000001</v>
      </c>
      <c r="L15" s="50">
        <f t="shared" si="5"/>
        <v>2501.0986000000003</v>
      </c>
      <c r="M15" s="50">
        <f t="shared" si="6"/>
        <v>2679.7485000000001</v>
      </c>
      <c r="N15" s="50">
        <f t="shared" si="7"/>
        <v>2769.0734499999999</v>
      </c>
      <c r="O15" s="30"/>
      <c r="P15" s="49">
        <v>11</v>
      </c>
      <c r="Q15" s="50">
        <f t="shared" si="75"/>
        <v>929.39</v>
      </c>
      <c r="R15" s="50">
        <f t="shared" si="8"/>
        <v>93.636042500000002</v>
      </c>
      <c r="S15" s="50">
        <f t="shared" si="9"/>
        <v>2621.8091899999999</v>
      </c>
      <c r="T15" s="50">
        <f t="shared" si="10"/>
        <v>2809.081275</v>
      </c>
      <c r="U15" s="50">
        <f t="shared" si="11"/>
        <v>2902.7173175000003</v>
      </c>
      <c r="V15" s="30"/>
      <c r="W15" s="49">
        <v>11</v>
      </c>
      <c r="X15" s="50">
        <f t="shared" si="76"/>
        <v>955.68</v>
      </c>
      <c r="Y15" s="50">
        <f t="shared" si="12"/>
        <v>96.284760000000006</v>
      </c>
      <c r="Z15" s="50">
        <f t="shared" si="77"/>
        <v>2695.9732800000002</v>
      </c>
      <c r="AA15" s="50">
        <f t="shared" si="13"/>
        <v>2888.5428000000002</v>
      </c>
      <c r="AB15" s="50">
        <f t="shared" si="14"/>
        <v>2984.8275600000002</v>
      </c>
      <c r="AC15" s="30"/>
      <c r="AD15" s="49">
        <v>11</v>
      </c>
      <c r="AE15" s="50">
        <f t="shared" si="78"/>
        <v>985.82</v>
      </c>
      <c r="AF15" s="50">
        <f t="shared" si="15"/>
        <v>99.321365000000014</v>
      </c>
      <c r="AG15" s="50">
        <f t="shared" si="16"/>
        <v>2780.9982200000004</v>
      </c>
      <c r="AH15" s="50">
        <f t="shared" si="17"/>
        <v>2979.6409500000004</v>
      </c>
      <c r="AI15" s="50">
        <f t="shared" si="18"/>
        <v>3078.9623150000007</v>
      </c>
      <c r="AJ15" s="30"/>
      <c r="AK15" s="49">
        <v>11</v>
      </c>
      <c r="AL15" s="50">
        <f t="shared" si="79"/>
        <v>1058.42</v>
      </c>
      <c r="AM15" s="50">
        <f t="shared" si="19"/>
        <v>106.63581500000001</v>
      </c>
      <c r="AN15" s="50">
        <f t="shared" si="20"/>
        <v>2985.8028200000003</v>
      </c>
      <c r="AO15" s="50">
        <f t="shared" si="21"/>
        <v>3199.0744500000001</v>
      </c>
      <c r="AP15" s="50">
        <f t="shared" si="22"/>
        <v>3305.7102650000002</v>
      </c>
      <c r="AQ15" s="30"/>
      <c r="AR15" s="49">
        <v>11</v>
      </c>
      <c r="AS15" s="50">
        <f t="shared" si="80"/>
        <v>1141.1399999999999</v>
      </c>
      <c r="AT15" s="50">
        <f t="shared" si="23"/>
        <v>127.41969239999997</v>
      </c>
      <c r="AU15" s="50">
        <f t="shared" si="24"/>
        <v>3567.751387199999</v>
      </c>
      <c r="AV15" s="50">
        <f t="shared" si="25"/>
        <v>3822.5907719999991</v>
      </c>
      <c r="AW15" s="50">
        <f t="shared" si="26"/>
        <v>3950.0104643999994</v>
      </c>
      <c r="AX15" s="30"/>
      <c r="AY15" s="49">
        <v>11</v>
      </c>
      <c r="AZ15" s="50">
        <f t="shared" si="81"/>
        <v>0</v>
      </c>
      <c r="BA15" s="50">
        <f t="shared" si="27"/>
        <v>0</v>
      </c>
      <c r="BB15" s="50">
        <f t="shared" si="82"/>
        <v>0</v>
      </c>
      <c r="BC15" s="50">
        <f t="shared" si="28"/>
        <v>0</v>
      </c>
      <c r="BD15" s="50">
        <f t="shared" si="29"/>
        <v>0</v>
      </c>
      <c r="BE15" s="30"/>
      <c r="BF15" s="49">
        <v>11</v>
      </c>
      <c r="BG15" s="50">
        <f t="shared" si="83"/>
        <v>0</v>
      </c>
      <c r="BH15" s="50">
        <f t="shared" si="30"/>
        <v>0</v>
      </c>
      <c r="BI15" s="50">
        <f t="shared" si="31"/>
        <v>0</v>
      </c>
      <c r="BJ15" s="50">
        <f t="shared" si="32"/>
        <v>0</v>
      </c>
      <c r="BK15" s="50">
        <f t="shared" si="33"/>
        <v>0</v>
      </c>
      <c r="BL15" s="30"/>
      <c r="BM15" s="49">
        <v>11</v>
      </c>
      <c r="BN15" s="50">
        <f t="shared" si="84"/>
        <v>0</v>
      </c>
      <c r="BO15" s="50">
        <f t="shared" si="34"/>
        <v>0</v>
      </c>
      <c r="BP15" s="50">
        <f t="shared" si="35"/>
        <v>0</v>
      </c>
      <c r="BQ15" s="50">
        <f t="shared" si="36"/>
        <v>0</v>
      </c>
      <c r="BR15" s="50">
        <f t="shared" si="37"/>
        <v>0</v>
      </c>
      <c r="BS15" s="30"/>
      <c r="BT15" s="49">
        <v>11</v>
      </c>
      <c r="BU15" s="50">
        <f t="shared" si="85"/>
        <v>0</v>
      </c>
      <c r="BV15" s="50">
        <f t="shared" si="38"/>
        <v>0</v>
      </c>
      <c r="BW15" s="50">
        <f t="shared" si="39"/>
        <v>0</v>
      </c>
      <c r="BX15" s="50">
        <f t="shared" si="40"/>
        <v>0</v>
      </c>
      <c r="BY15" s="50">
        <f t="shared" si="41"/>
        <v>0</v>
      </c>
      <c r="BZ15" s="30"/>
      <c r="CA15" s="49">
        <v>11</v>
      </c>
      <c r="CB15" s="50">
        <f t="shared" si="86"/>
        <v>0</v>
      </c>
      <c r="CC15" s="50">
        <f t="shared" si="42"/>
        <v>0</v>
      </c>
      <c r="CD15" s="50">
        <f t="shared" si="87"/>
        <v>0</v>
      </c>
      <c r="CE15" s="50">
        <f t="shared" si="43"/>
        <v>0</v>
      </c>
      <c r="CF15" s="50">
        <f t="shared" si="44"/>
        <v>0</v>
      </c>
      <c r="CG15" s="30"/>
      <c r="CH15" s="49">
        <v>11</v>
      </c>
      <c r="CI15" s="50">
        <f t="shared" si="88"/>
        <v>0</v>
      </c>
      <c r="CJ15" s="50">
        <f t="shared" si="45"/>
        <v>0</v>
      </c>
      <c r="CK15" s="50">
        <f t="shared" si="46"/>
        <v>0</v>
      </c>
      <c r="CL15" s="50">
        <f t="shared" si="47"/>
        <v>0</v>
      </c>
      <c r="CM15" s="50">
        <f t="shared" si="48"/>
        <v>0</v>
      </c>
      <c r="CN15" s="30"/>
      <c r="CO15" s="49">
        <v>11</v>
      </c>
      <c r="CP15" s="50">
        <f t="shared" si="89"/>
        <v>0</v>
      </c>
      <c r="CQ15" s="50">
        <f t="shared" si="49"/>
        <v>0</v>
      </c>
      <c r="CR15" s="50">
        <f t="shared" si="50"/>
        <v>0</v>
      </c>
      <c r="CS15" s="50">
        <f t="shared" si="51"/>
        <v>0</v>
      </c>
      <c r="CT15" s="50">
        <f t="shared" si="52"/>
        <v>0</v>
      </c>
      <c r="CU15" s="30"/>
      <c r="CV15" s="49">
        <v>11</v>
      </c>
      <c r="CW15" s="50">
        <f t="shared" si="90"/>
        <v>0</v>
      </c>
      <c r="CX15" s="50">
        <f t="shared" si="53"/>
        <v>0</v>
      </c>
      <c r="CY15" s="50">
        <f t="shared" si="54"/>
        <v>0</v>
      </c>
      <c r="CZ15" s="50">
        <f t="shared" si="55"/>
        <v>0</v>
      </c>
      <c r="DA15" s="50">
        <f t="shared" si="56"/>
        <v>0</v>
      </c>
      <c r="DB15" s="30"/>
      <c r="DC15" s="49">
        <v>11</v>
      </c>
      <c r="DD15" s="50">
        <f t="shared" si="91"/>
        <v>0</v>
      </c>
      <c r="DE15" s="50">
        <f t="shared" si="57"/>
        <v>0</v>
      </c>
      <c r="DF15" s="50">
        <f t="shared" si="58"/>
        <v>0</v>
      </c>
      <c r="DG15" s="50">
        <f t="shared" si="59"/>
        <v>0</v>
      </c>
      <c r="DH15" s="50">
        <f t="shared" si="60"/>
        <v>0</v>
      </c>
      <c r="DI15" s="30"/>
      <c r="DJ15" s="49">
        <v>11</v>
      </c>
      <c r="DK15" s="50">
        <f t="shared" si="92"/>
        <v>0</v>
      </c>
      <c r="DL15" s="50">
        <f t="shared" si="61"/>
        <v>0</v>
      </c>
      <c r="DM15" s="50">
        <f t="shared" si="62"/>
        <v>0</v>
      </c>
      <c r="DN15" s="50">
        <f t="shared" si="63"/>
        <v>0</v>
      </c>
      <c r="DO15" s="50">
        <f t="shared" si="64"/>
        <v>0</v>
      </c>
      <c r="DP15" s="30"/>
      <c r="DQ15" s="49">
        <v>11</v>
      </c>
      <c r="DR15" s="50">
        <f t="shared" si="93"/>
        <v>0</v>
      </c>
      <c r="DS15" s="50">
        <f t="shared" si="65"/>
        <v>0</v>
      </c>
      <c r="DT15" s="50">
        <f t="shared" si="66"/>
        <v>0</v>
      </c>
      <c r="DU15" s="50">
        <f t="shared" si="67"/>
        <v>0</v>
      </c>
      <c r="DV15" s="50">
        <f t="shared" si="68"/>
        <v>0</v>
      </c>
      <c r="DW15" s="30"/>
      <c r="DX15" s="49">
        <v>11</v>
      </c>
      <c r="DY15" s="50">
        <f t="shared" si="94"/>
        <v>0</v>
      </c>
      <c r="DZ15" s="50">
        <f t="shared" si="69"/>
        <v>0</v>
      </c>
      <c r="EA15" s="50">
        <f t="shared" si="70"/>
        <v>0</v>
      </c>
      <c r="EB15" s="50">
        <f t="shared" si="71"/>
        <v>0</v>
      </c>
      <c r="EC15" s="50">
        <f t="shared" si="72"/>
        <v>0</v>
      </c>
    </row>
    <row r="16" spans="2:133" x14ac:dyDescent="0.75">
      <c r="B16" s="49">
        <v>12</v>
      </c>
      <c r="C16" s="50">
        <f t="shared" si="73"/>
        <v>905.87999999999988</v>
      </c>
      <c r="D16" s="50">
        <f t="shared" si="0"/>
        <v>91.267409999999998</v>
      </c>
      <c r="E16" s="50">
        <f t="shared" si="1"/>
        <v>2555.4874799999998</v>
      </c>
      <c r="F16" s="50">
        <f t="shared" si="2"/>
        <v>2738.0223000000001</v>
      </c>
      <c r="G16" s="50">
        <f t="shared" si="3"/>
        <v>2829.28971</v>
      </c>
      <c r="H16" s="30"/>
      <c r="I16" s="49">
        <v>12</v>
      </c>
      <c r="J16" s="50">
        <f t="shared" si="74"/>
        <v>967.19999999999993</v>
      </c>
      <c r="K16" s="50">
        <f t="shared" si="4"/>
        <v>97.445399999999992</v>
      </c>
      <c r="L16" s="50">
        <f t="shared" si="5"/>
        <v>2728.4712</v>
      </c>
      <c r="M16" s="50">
        <f t="shared" si="6"/>
        <v>2923.3619999999996</v>
      </c>
      <c r="N16" s="50">
        <f t="shared" si="7"/>
        <v>3020.8073999999997</v>
      </c>
      <c r="O16" s="30"/>
      <c r="P16" s="49">
        <v>12</v>
      </c>
      <c r="Q16" s="50">
        <f t="shared" si="75"/>
        <v>1013.8799999999999</v>
      </c>
      <c r="R16" s="50">
        <f t="shared" si="8"/>
        <v>102.14841</v>
      </c>
      <c r="S16" s="50">
        <f t="shared" si="9"/>
        <v>2860.1554799999999</v>
      </c>
      <c r="T16" s="50">
        <f t="shared" si="10"/>
        <v>3064.4522999999999</v>
      </c>
      <c r="U16" s="50">
        <f t="shared" si="11"/>
        <v>3166.6007100000002</v>
      </c>
      <c r="V16" s="30"/>
      <c r="W16" s="49">
        <v>12</v>
      </c>
      <c r="X16" s="50">
        <f t="shared" si="76"/>
        <v>1042.56</v>
      </c>
      <c r="Y16" s="50">
        <f t="shared" si="12"/>
        <v>105.03792</v>
      </c>
      <c r="Z16" s="50">
        <f t="shared" si="77"/>
        <v>2941.06176</v>
      </c>
      <c r="AA16" s="50">
        <f t="shared" si="13"/>
        <v>3151.1376</v>
      </c>
      <c r="AB16" s="50">
        <f t="shared" si="14"/>
        <v>3256.1755199999998</v>
      </c>
      <c r="AC16" s="30"/>
      <c r="AD16" s="49">
        <v>12</v>
      </c>
      <c r="AE16" s="50">
        <f t="shared" si="78"/>
        <v>1075.44</v>
      </c>
      <c r="AF16" s="50">
        <f t="shared" si="15"/>
        <v>108.35058000000001</v>
      </c>
      <c r="AG16" s="50">
        <f t="shared" si="16"/>
        <v>3033.8162400000001</v>
      </c>
      <c r="AH16" s="50">
        <f t="shared" si="17"/>
        <v>3250.5174000000002</v>
      </c>
      <c r="AI16" s="50">
        <f t="shared" si="18"/>
        <v>3358.8679800000004</v>
      </c>
      <c r="AJ16" s="30"/>
      <c r="AK16" s="49">
        <v>12</v>
      </c>
      <c r="AL16" s="50">
        <f t="shared" si="79"/>
        <v>1154.6399999999999</v>
      </c>
      <c r="AM16" s="50">
        <f t="shared" si="19"/>
        <v>116.32997999999999</v>
      </c>
      <c r="AN16" s="50">
        <f t="shared" si="20"/>
        <v>3257.2394399999998</v>
      </c>
      <c r="AO16" s="50">
        <f t="shared" si="21"/>
        <v>3489.8993999999998</v>
      </c>
      <c r="AP16" s="50">
        <f t="shared" si="22"/>
        <v>3606.2293799999998</v>
      </c>
      <c r="AQ16" s="30"/>
      <c r="AR16" s="49">
        <v>12</v>
      </c>
      <c r="AS16" s="50">
        <f t="shared" si="80"/>
        <v>1244.8799999999999</v>
      </c>
      <c r="AT16" s="50">
        <f t="shared" si="23"/>
        <v>139.00330079999998</v>
      </c>
      <c r="AU16" s="50">
        <f t="shared" si="24"/>
        <v>3892.0924223999991</v>
      </c>
      <c r="AV16" s="50">
        <f t="shared" si="25"/>
        <v>4170.0990239999992</v>
      </c>
      <c r="AW16" s="50">
        <f t="shared" si="26"/>
        <v>4309.1023247999992</v>
      </c>
      <c r="AX16" s="30"/>
      <c r="AY16" s="49">
        <v>12</v>
      </c>
      <c r="AZ16" s="50">
        <f t="shared" si="81"/>
        <v>0</v>
      </c>
      <c r="BA16" s="50">
        <f t="shared" si="27"/>
        <v>0</v>
      </c>
      <c r="BB16" s="50">
        <f t="shared" si="82"/>
        <v>0</v>
      </c>
      <c r="BC16" s="50">
        <f t="shared" si="28"/>
        <v>0</v>
      </c>
      <c r="BD16" s="50">
        <f t="shared" si="29"/>
        <v>0</v>
      </c>
      <c r="BE16" s="30"/>
      <c r="BF16" s="49">
        <v>12</v>
      </c>
      <c r="BG16" s="50">
        <f t="shared" si="83"/>
        <v>0</v>
      </c>
      <c r="BH16" s="50">
        <f t="shared" si="30"/>
        <v>0</v>
      </c>
      <c r="BI16" s="50">
        <f t="shared" si="31"/>
        <v>0</v>
      </c>
      <c r="BJ16" s="50">
        <f t="shared" si="32"/>
        <v>0</v>
      </c>
      <c r="BK16" s="50">
        <f t="shared" si="33"/>
        <v>0</v>
      </c>
      <c r="BL16" s="30"/>
      <c r="BM16" s="49">
        <v>12</v>
      </c>
      <c r="BN16" s="50">
        <f t="shared" si="84"/>
        <v>0</v>
      </c>
      <c r="BO16" s="50">
        <f t="shared" si="34"/>
        <v>0</v>
      </c>
      <c r="BP16" s="50">
        <f t="shared" si="35"/>
        <v>0</v>
      </c>
      <c r="BQ16" s="50">
        <f t="shared" si="36"/>
        <v>0</v>
      </c>
      <c r="BR16" s="50">
        <f t="shared" si="37"/>
        <v>0</v>
      </c>
      <c r="BS16" s="30"/>
      <c r="BT16" s="49">
        <v>12</v>
      </c>
      <c r="BU16" s="50">
        <f t="shared" si="85"/>
        <v>0</v>
      </c>
      <c r="BV16" s="50">
        <f t="shared" si="38"/>
        <v>0</v>
      </c>
      <c r="BW16" s="50">
        <f t="shared" si="39"/>
        <v>0</v>
      </c>
      <c r="BX16" s="50">
        <f t="shared" si="40"/>
        <v>0</v>
      </c>
      <c r="BY16" s="50">
        <f t="shared" si="41"/>
        <v>0</v>
      </c>
      <c r="BZ16" s="30"/>
      <c r="CA16" s="49">
        <v>12</v>
      </c>
      <c r="CB16" s="50">
        <f t="shared" si="86"/>
        <v>0</v>
      </c>
      <c r="CC16" s="50">
        <f t="shared" si="42"/>
        <v>0</v>
      </c>
      <c r="CD16" s="50">
        <f t="shared" si="87"/>
        <v>0</v>
      </c>
      <c r="CE16" s="50">
        <f t="shared" si="43"/>
        <v>0</v>
      </c>
      <c r="CF16" s="50">
        <f t="shared" si="44"/>
        <v>0</v>
      </c>
      <c r="CG16" s="30"/>
      <c r="CH16" s="49">
        <v>12</v>
      </c>
      <c r="CI16" s="50">
        <f t="shared" si="88"/>
        <v>0</v>
      </c>
      <c r="CJ16" s="50">
        <f t="shared" si="45"/>
        <v>0</v>
      </c>
      <c r="CK16" s="50">
        <f t="shared" si="46"/>
        <v>0</v>
      </c>
      <c r="CL16" s="50">
        <f t="shared" si="47"/>
        <v>0</v>
      </c>
      <c r="CM16" s="50">
        <f t="shared" si="48"/>
        <v>0</v>
      </c>
      <c r="CN16" s="30"/>
      <c r="CO16" s="49">
        <v>12</v>
      </c>
      <c r="CP16" s="50">
        <f t="shared" si="89"/>
        <v>0</v>
      </c>
      <c r="CQ16" s="50">
        <f t="shared" si="49"/>
        <v>0</v>
      </c>
      <c r="CR16" s="50">
        <f t="shared" si="50"/>
        <v>0</v>
      </c>
      <c r="CS16" s="50">
        <f t="shared" si="51"/>
        <v>0</v>
      </c>
      <c r="CT16" s="50">
        <f t="shared" si="52"/>
        <v>0</v>
      </c>
      <c r="CU16" s="30"/>
      <c r="CV16" s="49">
        <v>12</v>
      </c>
      <c r="CW16" s="50">
        <f t="shared" si="90"/>
        <v>0</v>
      </c>
      <c r="CX16" s="50">
        <f t="shared" si="53"/>
        <v>0</v>
      </c>
      <c r="CY16" s="50">
        <f t="shared" si="54"/>
        <v>0</v>
      </c>
      <c r="CZ16" s="50">
        <f t="shared" si="55"/>
        <v>0</v>
      </c>
      <c r="DA16" s="50">
        <f t="shared" si="56"/>
        <v>0</v>
      </c>
      <c r="DB16" s="30"/>
      <c r="DC16" s="49">
        <v>12</v>
      </c>
      <c r="DD16" s="50">
        <f t="shared" si="91"/>
        <v>0</v>
      </c>
      <c r="DE16" s="50">
        <f t="shared" si="57"/>
        <v>0</v>
      </c>
      <c r="DF16" s="50">
        <f t="shared" si="58"/>
        <v>0</v>
      </c>
      <c r="DG16" s="50">
        <f t="shared" si="59"/>
        <v>0</v>
      </c>
      <c r="DH16" s="50">
        <f t="shared" si="60"/>
        <v>0</v>
      </c>
      <c r="DI16" s="30"/>
      <c r="DJ16" s="49">
        <v>12</v>
      </c>
      <c r="DK16" s="50">
        <f t="shared" si="92"/>
        <v>0</v>
      </c>
      <c r="DL16" s="50">
        <f t="shared" si="61"/>
        <v>0</v>
      </c>
      <c r="DM16" s="50">
        <f t="shared" si="62"/>
        <v>0</v>
      </c>
      <c r="DN16" s="50">
        <f t="shared" si="63"/>
        <v>0</v>
      </c>
      <c r="DO16" s="50">
        <f t="shared" si="64"/>
        <v>0</v>
      </c>
      <c r="DP16" s="30"/>
      <c r="DQ16" s="49">
        <v>12</v>
      </c>
      <c r="DR16" s="50">
        <f t="shared" si="93"/>
        <v>0</v>
      </c>
      <c r="DS16" s="50">
        <f t="shared" si="65"/>
        <v>0</v>
      </c>
      <c r="DT16" s="50">
        <f t="shared" si="66"/>
        <v>0</v>
      </c>
      <c r="DU16" s="50">
        <f t="shared" si="67"/>
        <v>0</v>
      </c>
      <c r="DV16" s="50">
        <f t="shared" si="68"/>
        <v>0</v>
      </c>
      <c r="DW16" s="30"/>
      <c r="DX16" s="49">
        <v>12</v>
      </c>
      <c r="DY16" s="50">
        <f t="shared" si="94"/>
        <v>0</v>
      </c>
      <c r="DZ16" s="50">
        <f t="shared" si="69"/>
        <v>0</v>
      </c>
      <c r="EA16" s="50">
        <f t="shared" si="70"/>
        <v>0</v>
      </c>
      <c r="EB16" s="50">
        <f t="shared" si="71"/>
        <v>0</v>
      </c>
      <c r="EC16" s="50">
        <f t="shared" si="72"/>
        <v>0</v>
      </c>
    </row>
    <row r="17" spans="2:133" x14ac:dyDescent="0.75">
      <c r="B17" s="49">
        <v>13</v>
      </c>
      <c r="C17" s="50">
        <f t="shared" si="73"/>
        <v>981.36999999999989</v>
      </c>
      <c r="D17" s="50">
        <f t="shared" si="0"/>
        <v>98.873027499999992</v>
      </c>
      <c r="E17" s="50">
        <f t="shared" si="1"/>
        <v>2768.4447699999996</v>
      </c>
      <c r="F17" s="50">
        <f t="shared" si="2"/>
        <v>2966.1908249999997</v>
      </c>
      <c r="G17" s="50">
        <f t="shared" si="3"/>
        <v>3065.0638524999999</v>
      </c>
      <c r="H17" s="30"/>
      <c r="I17" s="49">
        <v>13</v>
      </c>
      <c r="J17" s="50">
        <f t="shared" si="74"/>
        <v>1047.8</v>
      </c>
      <c r="K17" s="50">
        <f t="shared" si="4"/>
        <v>105.56585</v>
      </c>
      <c r="L17" s="50">
        <f t="shared" si="5"/>
        <v>2955.8438000000001</v>
      </c>
      <c r="M17" s="50">
        <f t="shared" si="6"/>
        <v>3166.9755</v>
      </c>
      <c r="N17" s="50">
        <f t="shared" si="7"/>
        <v>3272.54135</v>
      </c>
      <c r="O17" s="30"/>
      <c r="P17" s="49">
        <v>13</v>
      </c>
      <c r="Q17" s="50">
        <f t="shared" si="75"/>
        <v>1098.3699999999999</v>
      </c>
      <c r="R17" s="50">
        <f t="shared" si="8"/>
        <v>110.66077749999999</v>
      </c>
      <c r="S17" s="50">
        <f t="shared" si="9"/>
        <v>3098.5017699999999</v>
      </c>
      <c r="T17" s="50">
        <f t="shared" si="10"/>
        <v>3319.8233249999998</v>
      </c>
      <c r="U17" s="50">
        <f t="shared" si="11"/>
        <v>3430.4841024999996</v>
      </c>
      <c r="V17" s="30"/>
      <c r="W17" s="49">
        <v>13</v>
      </c>
      <c r="X17" s="50">
        <f t="shared" si="76"/>
        <v>1129.44</v>
      </c>
      <c r="Y17" s="50">
        <f t="shared" si="12"/>
        <v>113.79108000000001</v>
      </c>
      <c r="Z17" s="50">
        <f t="shared" si="77"/>
        <v>3186.1502400000004</v>
      </c>
      <c r="AA17" s="50">
        <f t="shared" si="13"/>
        <v>3413.7324000000003</v>
      </c>
      <c r="AB17" s="50">
        <f t="shared" si="14"/>
        <v>3527.5234800000003</v>
      </c>
      <c r="AC17" s="30"/>
      <c r="AD17" s="49">
        <v>13</v>
      </c>
      <c r="AE17" s="50">
        <f t="shared" si="78"/>
        <v>1165.06</v>
      </c>
      <c r="AF17" s="50">
        <f t="shared" si="15"/>
        <v>117.379795</v>
      </c>
      <c r="AG17" s="50">
        <f t="shared" si="16"/>
        <v>3286.6342599999998</v>
      </c>
      <c r="AH17" s="50">
        <f t="shared" si="17"/>
        <v>3521.3938499999999</v>
      </c>
      <c r="AI17" s="50">
        <f t="shared" si="18"/>
        <v>3638.7736450000002</v>
      </c>
      <c r="AJ17" s="30"/>
      <c r="AK17" s="49">
        <v>13</v>
      </c>
      <c r="AL17" s="50">
        <f t="shared" si="79"/>
        <v>1250.8599999999999</v>
      </c>
      <c r="AM17" s="50">
        <f t="shared" si="19"/>
        <v>126.024145</v>
      </c>
      <c r="AN17" s="50">
        <f t="shared" si="20"/>
        <v>3528.6760600000002</v>
      </c>
      <c r="AO17" s="50">
        <f t="shared" si="21"/>
        <v>3780.72435</v>
      </c>
      <c r="AP17" s="50">
        <f t="shared" si="22"/>
        <v>3906.7484950000003</v>
      </c>
      <c r="AQ17" s="30"/>
      <c r="AR17" s="49">
        <v>13</v>
      </c>
      <c r="AS17" s="50">
        <f t="shared" si="80"/>
        <v>1348.62</v>
      </c>
      <c r="AT17" s="50">
        <f t="shared" si="23"/>
        <v>150.58690919999998</v>
      </c>
      <c r="AU17" s="50">
        <f t="shared" si="24"/>
        <v>4216.4334575999992</v>
      </c>
      <c r="AV17" s="50">
        <f t="shared" si="25"/>
        <v>4517.6072759999997</v>
      </c>
      <c r="AW17" s="50">
        <f t="shared" si="26"/>
        <v>4668.1941851999991</v>
      </c>
      <c r="AX17" s="30"/>
      <c r="AY17" s="49">
        <v>13</v>
      </c>
      <c r="AZ17" s="50">
        <f t="shared" si="81"/>
        <v>0</v>
      </c>
      <c r="BA17" s="50">
        <f t="shared" si="27"/>
        <v>0</v>
      </c>
      <c r="BB17" s="50">
        <f t="shared" si="82"/>
        <v>0</v>
      </c>
      <c r="BC17" s="50">
        <f t="shared" si="28"/>
        <v>0</v>
      </c>
      <c r="BD17" s="50">
        <f t="shared" si="29"/>
        <v>0</v>
      </c>
      <c r="BE17" s="30"/>
      <c r="BF17" s="49">
        <v>13</v>
      </c>
      <c r="BG17" s="50">
        <f t="shared" si="83"/>
        <v>0</v>
      </c>
      <c r="BH17" s="50">
        <f t="shared" si="30"/>
        <v>0</v>
      </c>
      <c r="BI17" s="50">
        <f t="shared" si="31"/>
        <v>0</v>
      </c>
      <c r="BJ17" s="50">
        <f t="shared" si="32"/>
        <v>0</v>
      </c>
      <c r="BK17" s="50">
        <f t="shared" si="33"/>
        <v>0</v>
      </c>
      <c r="BL17" s="30"/>
      <c r="BM17" s="49">
        <v>13</v>
      </c>
      <c r="BN17" s="50">
        <f t="shared" si="84"/>
        <v>0</v>
      </c>
      <c r="BO17" s="50">
        <f t="shared" si="34"/>
        <v>0</v>
      </c>
      <c r="BP17" s="50">
        <f t="shared" si="35"/>
        <v>0</v>
      </c>
      <c r="BQ17" s="50">
        <f t="shared" si="36"/>
        <v>0</v>
      </c>
      <c r="BR17" s="50">
        <f t="shared" si="37"/>
        <v>0</v>
      </c>
      <c r="BS17" s="30"/>
      <c r="BT17" s="49">
        <v>13</v>
      </c>
      <c r="BU17" s="50">
        <f t="shared" si="85"/>
        <v>0</v>
      </c>
      <c r="BV17" s="50">
        <f t="shared" si="38"/>
        <v>0</v>
      </c>
      <c r="BW17" s="50">
        <f t="shared" si="39"/>
        <v>0</v>
      </c>
      <c r="BX17" s="50">
        <f t="shared" si="40"/>
        <v>0</v>
      </c>
      <c r="BY17" s="50">
        <f t="shared" si="41"/>
        <v>0</v>
      </c>
      <c r="BZ17" s="30"/>
      <c r="CA17" s="49">
        <v>13</v>
      </c>
      <c r="CB17" s="50">
        <f t="shared" si="86"/>
        <v>0</v>
      </c>
      <c r="CC17" s="50">
        <f t="shared" si="42"/>
        <v>0</v>
      </c>
      <c r="CD17" s="50">
        <f t="shared" si="87"/>
        <v>0</v>
      </c>
      <c r="CE17" s="50">
        <f t="shared" si="43"/>
        <v>0</v>
      </c>
      <c r="CF17" s="50">
        <f t="shared" si="44"/>
        <v>0</v>
      </c>
      <c r="CG17" s="30"/>
      <c r="CH17" s="49">
        <v>13</v>
      </c>
      <c r="CI17" s="50">
        <f t="shared" si="88"/>
        <v>0</v>
      </c>
      <c r="CJ17" s="50">
        <f t="shared" si="45"/>
        <v>0</v>
      </c>
      <c r="CK17" s="50">
        <f t="shared" si="46"/>
        <v>0</v>
      </c>
      <c r="CL17" s="50">
        <f t="shared" si="47"/>
        <v>0</v>
      </c>
      <c r="CM17" s="50">
        <f t="shared" si="48"/>
        <v>0</v>
      </c>
      <c r="CN17" s="30"/>
      <c r="CO17" s="49">
        <v>13</v>
      </c>
      <c r="CP17" s="50">
        <f t="shared" si="89"/>
        <v>0</v>
      </c>
      <c r="CQ17" s="50">
        <f t="shared" si="49"/>
        <v>0</v>
      </c>
      <c r="CR17" s="50">
        <f t="shared" si="50"/>
        <v>0</v>
      </c>
      <c r="CS17" s="50">
        <f t="shared" si="51"/>
        <v>0</v>
      </c>
      <c r="CT17" s="50">
        <f t="shared" si="52"/>
        <v>0</v>
      </c>
      <c r="CU17" s="30"/>
      <c r="CV17" s="49">
        <v>13</v>
      </c>
      <c r="CW17" s="50">
        <f t="shared" si="90"/>
        <v>0</v>
      </c>
      <c r="CX17" s="50">
        <f t="shared" si="53"/>
        <v>0</v>
      </c>
      <c r="CY17" s="50">
        <f t="shared" si="54"/>
        <v>0</v>
      </c>
      <c r="CZ17" s="50">
        <f t="shared" si="55"/>
        <v>0</v>
      </c>
      <c r="DA17" s="50">
        <f t="shared" si="56"/>
        <v>0</v>
      </c>
      <c r="DB17" s="30"/>
      <c r="DC17" s="49">
        <v>13</v>
      </c>
      <c r="DD17" s="50">
        <f t="shared" si="91"/>
        <v>0</v>
      </c>
      <c r="DE17" s="50">
        <f t="shared" si="57"/>
        <v>0</v>
      </c>
      <c r="DF17" s="50">
        <f t="shared" si="58"/>
        <v>0</v>
      </c>
      <c r="DG17" s="50">
        <f t="shared" si="59"/>
        <v>0</v>
      </c>
      <c r="DH17" s="50">
        <f t="shared" si="60"/>
        <v>0</v>
      </c>
      <c r="DI17" s="30"/>
      <c r="DJ17" s="49">
        <v>13</v>
      </c>
      <c r="DK17" s="50">
        <f t="shared" si="92"/>
        <v>0</v>
      </c>
      <c r="DL17" s="50">
        <f t="shared" si="61"/>
        <v>0</v>
      </c>
      <c r="DM17" s="50">
        <f t="shared" si="62"/>
        <v>0</v>
      </c>
      <c r="DN17" s="50">
        <f t="shared" si="63"/>
        <v>0</v>
      </c>
      <c r="DO17" s="50">
        <f t="shared" si="64"/>
        <v>0</v>
      </c>
      <c r="DP17" s="30"/>
      <c r="DQ17" s="49">
        <v>13</v>
      </c>
      <c r="DR17" s="50">
        <f t="shared" si="93"/>
        <v>0</v>
      </c>
      <c r="DS17" s="50">
        <f t="shared" si="65"/>
        <v>0</v>
      </c>
      <c r="DT17" s="50">
        <f t="shared" si="66"/>
        <v>0</v>
      </c>
      <c r="DU17" s="50">
        <f t="shared" si="67"/>
        <v>0</v>
      </c>
      <c r="DV17" s="50">
        <f t="shared" si="68"/>
        <v>0</v>
      </c>
      <c r="DW17" s="30"/>
      <c r="DX17" s="49">
        <v>13</v>
      </c>
      <c r="DY17" s="50">
        <f t="shared" si="94"/>
        <v>0</v>
      </c>
      <c r="DZ17" s="50">
        <f t="shared" si="69"/>
        <v>0</v>
      </c>
      <c r="EA17" s="50">
        <f t="shared" si="70"/>
        <v>0</v>
      </c>
      <c r="EB17" s="50">
        <f t="shared" si="71"/>
        <v>0</v>
      </c>
      <c r="EC17" s="50">
        <f t="shared" si="72"/>
        <v>0</v>
      </c>
    </row>
    <row r="18" spans="2:133" x14ac:dyDescent="0.75">
      <c r="B18" s="49">
        <v>14</v>
      </c>
      <c r="C18" s="50">
        <f t="shared" si="73"/>
        <v>1056.8599999999999</v>
      </c>
      <c r="D18" s="50">
        <f t="shared" si="0"/>
        <v>106.478645</v>
      </c>
      <c r="E18" s="50">
        <f t="shared" si="1"/>
        <v>2981.4020599999999</v>
      </c>
      <c r="F18" s="50">
        <f t="shared" si="2"/>
        <v>3194.3593500000002</v>
      </c>
      <c r="G18" s="50">
        <f t="shared" si="3"/>
        <v>3300.8379949999999</v>
      </c>
      <c r="H18" s="30"/>
      <c r="I18" s="49">
        <v>14</v>
      </c>
      <c r="J18" s="50">
        <f t="shared" si="74"/>
        <v>1128.3999999999999</v>
      </c>
      <c r="K18" s="50">
        <f t="shared" si="4"/>
        <v>113.68629999999999</v>
      </c>
      <c r="L18" s="50">
        <f t="shared" si="5"/>
        <v>3183.2163999999998</v>
      </c>
      <c r="M18" s="50">
        <f t="shared" si="6"/>
        <v>3410.5889999999995</v>
      </c>
      <c r="N18" s="50">
        <f t="shared" si="7"/>
        <v>3524.2752999999998</v>
      </c>
      <c r="O18" s="30"/>
      <c r="P18" s="49">
        <v>14</v>
      </c>
      <c r="Q18" s="50">
        <f t="shared" si="75"/>
        <v>1182.8599999999999</v>
      </c>
      <c r="R18" s="50">
        <f t="shared" si="8"/>
        <v>119.17314499999999</v>
      </c>
      <c r="S18" s="50">
        <f t="shared" si="9"/>
        <v>3336.8480599999998</v>
      </c>
      <c r="T18" s="50">
        <f t="shared" si="10"/>
        <v>3575.1943499999998</v>
      </c>
      <c r="U18" s="50">
        <f t="shared" si="11"/>
        <v>3694.3674949999995</v>
      </c>
      <c r="V18" s="30"/>
      <c r="W18" s="49">
        <v>14</v>
      </c>
      <c r="X18" s="50">
        <f t="shared" si="76"/>
        <v>1216.32</v>
      </c>
      <c r="Y18" s="50">
        <f t="shared" si="12"/>
        <v>122.54424</v>
      </c>
      <c r="Z18" s="50">
        <f t="shared" si="77"/>
        <v>3431.2387200000003</v>
      </c>
      <c r="AA18" s="50">
        <f t="shared" si="13"/>
        <v>3676.3272000000002</v>
      </c>
      <c r="AB18" s="50">
        <f t="shared" si="14"/>
        <v>3798.8714399999999</v>
      </c>
      <c r="AC18" s="30"/>
      <c r="AD18" s="49">
        <v>14</v>
      </c>
      <c r="AE18" s="50">
        <f t="shared" si="78"/>
        <v>1254.68</v>
      </c>
      <c r="AF18" s="50">
        <f t="shared" si="15"/>
        <v>126.40901000000001</v>
      </c>
      <c r="AG18" s="50">
        <f t="shared" si="16"/>
        <v>3539.4522800000004</v>
      </c>
      <c r="AH18" s="50">
        <f t="shared" si="17"/>
        <v>3792.2703000000001</v>
      </c>
      <c r="AI18" s="50">
        <f t="shared" si="18"/>
        <v>3918.6793100000004</v>
      </c>
      <c r="AJ18" s="30"/>
      <c r="AK18" s="49">
        <v>14</v>
      </c>
      <c r="AL18" s="50">
        <f t="shared" si="79"/>
        <v>1347.08</v>
      </c>
      <c r="AM18" s="50">
        <f t="shared" si="19"/>
        <v>135.71831</v>
      </c>
      <c r="AN18" s="50">
        <f t="shared" si="20"/>
        <v>3800.1126800000002</v>
      </c>
      <c r="AO18" s="50">
        <f t="shared" si="21"/>
        <v>4071.5493000000001</v>
      </c>
      <c r="AP18" s="50">
        <f t="shared" si="22"/>
        <v>4207.2676099999999</v>
      </c>
      <c r="AQ18" s="30"/>
      <c r="AR18" s="49">
        <v>14</v>
      </c>
      <c r="AS18" s="50">
        <f t="shared" si="80"/>
        <v>1452.36</v>
      </c>
      <c r="AT18" s="50">
        <f t="shared" si="23"/>
        <v>162.17051759999998</v>
      </c>
      <c r="AU18" s="50">
        <f t="shared" si="24"/>
        <v>4540.7744927999993</v>
      </c>
      <c r="AV18" s="50">
        <f t="shared" si="25"/>
        <v>4865.1155279999994</v>
      </c>
      <c r="AW18" s="50">
        <f t="shared" si="26"/>
        <v>5027.2860455999999</v>
      </c>
      <c r="AX18" s="30"/>
      <c r="AY18" s="49">
        <v>14</v>
      </c>
      <c r="AZ18" s="50">
        <f t="shared" si="81"/>
        <v>0</v>
      </c>
      <c r="BA18" s="50">
        <f t="shared" si="27"/>
        <v>0</v>
      </c>
      <c r="BB18" s="50">
        <f t="shared" si="82"/>
        <v>0</v>
      </c>
      <c r="BC18" s="50">
        <f t="shared" si="28"/>
        <v>0</v>
      </c>
      <c r="BD18" s="50">
        <f t="shared" si="29"/>
        <v>0</v>
      </c>
      <c r="BE18" s="30"/>
      <c r="BF18" s="49">
        <v>14</v>
      </c>
      <c r="BG18" s="50">
        <f t="shared" si="83"/>
        <v>0</v>
      </c>
      <c r="BH18" s="50">
        <f t="shared" si="30"/>
        <v>0</v>
      </c>
      <c r="BI18" s="50">
        <f t="shared" si="31"/>
        <v>0</v>
      </c>
      <c r="BJ18" s="50">
        <f t="shared" si="32"/>
        <v>0</v>
      </c>
      <c r="BK18" s="50">
        <f t="shared" si="33"/>
        <v>0</v>
      </c>
      <c r="BL18" s="30"/>
      <c r="BM18" s="49">
        <v>14</v>
      </c>
      <c r="BN18" s="50">
        <f t="shared" si="84"/>
        <v>0</v>
      </c>
      <c r="BO18" s="50">
        <f t="shared" si="34"/>
        <v>0</v>
      </c>
      <c r="BP18" s="50">
        <f t="shared" si="35"/>
        <v>0</v>
      </c>
      <c r="BQ18" s="50">
        <f t="shared" si="36"/>
        <v>0</v>
      </c>
      <c r="BR18" s="50">
        <f t="shared" si="37"/>
        <v>0</v>
      </c>
      <c r="BS18" s="30"/>
      <c r="BT18" s="49">
        <v>14</v>
      </c>
      <c r="BU18" s="50">
        <f t="shared" si="85"/>
        <v>0</v>
      </c>
      <c r="BV18" s="50">
        <f t="shared" si="38"/>
        <v>0</v>
      </c>
      <c r="BW18" s="50">
        <f t="shared" si="39"/>
        <v>0</v>
      </c>
      <c r="BX18" s="50">
        <f t="shared" si="40"/>
        <v>0</v>
      </c>
      <c r="BY18" s="50">
        <f t="shared" si="41"/>
        <v>0</v>
      </c>
      <c r="BZ18" s="30"/>
      <c r="CA18" s="49">
        <v>14</v>
      </c>
      <c r="CB18" s="50">
        <f t="shared" si="86"/>
        <v>0</v>
      </c>
      <c r="CC18" s="50">
        <f t="shared" si="42"/>
        <v>0</v>
      </c>
      <c r="CD18" s="50">
        <f t="shared" si="87"/>
        <v>0</v>
      </c>
      <c r="CE18" s="50">
        <f t="shared" si="43"/>
        <v>0</v>
      </c>
      <c r="CF18" s="50">
        <f t="shared" si="44"/>
        <v>0</v>
      </c>
      <c r="CG18" s="30"/>
      <c r="CH18" s="49">
        <v>14</v>
      </c>
      <c r="CI18" s="50">
        <f t="shared" si="88"/>
        <v>0</v>
      </c>
      <c r="CJ18" s="50">
        <f t="shared" si="45"/>
        <v>0</v>
      </c>
      <c r="CK18" s="50">
        <f t="shared" si="46"/>
        <v>0</v>
      </c>
      <c r="CL18" s="50">
        <f t="shared" si="47"/>
        <v>0</v>
      </c>
      <c r="CM18" s="50">
        <f t="shared" si="48"/>
        <v>0</v>
      </c>
      <c r="CN18" s="30"/>
      <c r="CO18" s="49">
        <v>14</v>
      </c>
      <c r="CP18" s="50">
        <f t="shared" si="89"/>
        <v>0</v>
      </c>
      <c r="CQ18" s="50">
        <f t="shared" si="49"/>
        <v>0</v>
      </c>
      <c r="CR18" s="50">
        <f t="shared" si="50"/>
        <v>0</v>
      </c>
      <c r="CS18" s="50">
        <f t="shared" si="51"/>
        <v>0</v>
      </c>
      <c r="CT18" s="50">
        <f t="shared" si="52"/>
        <v>0</v>
      </c>
      <c r="CU18" s="30"/>
      <c r="CV18" s="49">
        <v>14</v>
      </c>
      <c r="CW18" s="50">
        <f t="shared" si="90"/>
        <v>0</v>
      </c>
      <c r="CX18" s="50">
        <f t="shared" si="53"/>
        <v>0</v>
      </c>
      <c r="CY18" s="50">
        <f t="shared" si="54"/>
        <v>0</v>
      </c>
      <c r="CZ18" s="50">
        <f t="shared" si="55"/>
        <v>0</v>
      </c>
      <c r="DA18" s="50">
        <f t="shared" si="56"/>
        <v>0</v>
      </c>
      <c r="DB18" s="30"/>
      <c r="DC18" s="49">
        <v>14</v>
      </c>
      <c r="DD18" s="50">
        <f t="shared" si="91"/>
        <v>0</v>
      </c>
      <c r="DE18" s="50">
        <f t="shared" si="57"/>
        <v>0</v>
      </c>
      <c r="DF18" s="50">
        <f t="shared" si="58"/>
        <v>0</v>
      </c>
      <c r="DG18" s="50">
        <f t="shared" si="59"/>
        <v>0</v>
      </c>
      <c r="DH18" s="50">
        <f t="shared" si="60"/>
        <v>0</v>
      </c>
      <c r="DI18" s="30"/>
      <c r="DJ18" s="49">
        <v>14</v>
      </c>
      <c r="DK18" s="50">
        <f t="shared" si="92"/>
        <v>0</v>
      </c>
      <c r="DL18" s="50">
        <f t="shared" si="61"/>
        <v>0</v>
      </c>
      <c r="DM18" s="50">
        <f t="shared" si="62"/>
        <v>0</v>
      </c>
      <c r="DN18" s="50">
        <f t="shared" si="63"/>
        <v>0</v>
      </c>
      <c r="DO18" s="50">
        <f t="shared" si="64"/>
        <v>0</v>
      </c>
      <c r="DP18" s="30"/>
      <c r="DQ18" s="49">
        <v>14</v>
      </c>
      <c r="DR18" s="50">
        <f t="shared" si="93"/>
        <v>0</v>
      </c>
      <c r="DS18" s="50">
        <f t="shared" si="65"/>
        <v>0</v>
      </c>
      <c r="DT18" s="50">
        <f t="shared" si="66"/>
        <v>0</v>
      </c>
      <c r="DU18" s="50">
        <f t="shared" si="67"/>
        <v>0</v>
      </c>
      <c r="DV18" s="50">
        <f t="shared" si="68"/>
        <v>0</v>
      </c>
      <c r="DW18" s="30"/>
      <c r="DX18" s="49">
        <v>14</v>
      </c>
      <c r="DY18" s="50">
        <f t="shared" si="94"/>
        <v>0</v>
      </c>
      <c r="DZ18" s="50">
        <f t="shared" si="69"/>
        <v>0</v>
      </c>
      <c r="EA18" s="50">
        <f t="shared" si="70"/>
        <v>0</v>
      </c>
      <c r="EB18" s="50">
        <f t="shared" si="71"/>
        <v>0</v>
      </c>
      <c r="EC18" s="50">
        <f t="shared" si="72"/>
        <v>0</v>
      </c>
    </row>
    <row r="19" spans="2:133" x14ac:dyDescent="0.75">
      <c r="B19" s="49">
        <v>15</v>
      </c>
      <c r="C19" s="50">
        <f t="shared" si="73"/>
        <v>1132.3499999999999</v>
      </c>
      <c r="D19" s="50">
        <f t="shared" si="0"/>
        <v>114.08426249999999</v>
      </c>
      <c r="E19" s="50">
        <f t="shared" si="1"/>
        <v>3194.3593499999997</v>
      </c>
      <c r="F19" s="50">
        <f t="shared" si="2"/>
        <v>3422.5278749999998</v>
      </c>
      <c r="G19" s="50">
        <f t="shared" si="3"/>
        <v>3536.6121374999998</v>
      </c>
      <c r="H19" s="30"/>
      <c r="I19" s="49">
        <v>15</v>
      </c>
      <c r="J19" s="50">
        <f t="shared" si="74"/>
        <v>1209</v>
      </c>
      <c r="K19" s="50">
        <f t="shared" si="4"/>
        <v>121.80675000000001</v>
      </c>
      <c r="L19" s="50">
        <f t="shared" si="5"/>
        <v>3410.5890000000004</v>
      </c>
      <c r="M19" s="50">
        <f t="shared" si="6"/>
        <v>3654.2025000000003</v>
      </c>
      <c r="N19" s="50">
        <f t="shared" si="7"/>
        <v>3776.0092500000001</v>
      </c>
      <c r="O19" s="30"/>
      <c r="P19" s="49">
        <v>15</v>
      </c>
      <c r="Q19" s="50">
        <f t="shared" si="75"/>
        <v>1267.3499999999999</v>
      </c>
      <c r="R19" s="50">
        <f t="shared" si="8"/>
        <v>127.6855125</v>
      </c>
      <c r="S19" s="50">
        <f t="shared" si="9"/>
        <v>3575.1943500000002</v>
      </c>
      <c r="T19" s="50">
        <f t="shared" si="10"/>
        <v>3830.5653750000001</v>
      </c>
      <c r="U19" s="50">
        <f t="shared" si="11"/>
        <v>3958.2508874999999</v>
      </c>
      <c r="V19" s="30"/>
      <c r="W19" s="49">
        <v>15</v>
      </c>
      <c r="X19" s="50">
        <f t="shared" si="76"/>
        <v>1303.1999999999998</v>
      </c>
      <c r="Y19" s="50">
        <f t="shared" si="12"/>
        <v>131.29739999999998</v>
      </c>
      <c r="Z19" s="50">
        <f t="shared" si="77"/>
        <v>3676.3271999999997</v>
      </c>
      <c r="AA19" s="50">
        <f t="shared" si="13"/>
        <v>3938.9219999999996</v>
      </c>
      <c r="AB19" s="50">
        <f t="shared" si="14"/>
        <v>4070.2193999999995</v>
      </c>
      <c r="AC19" s="30"/>
      <c r="AD19" s="49">
        <v>15</v>
      </c>
      <c r="AE19" s="50">
        <f t="shared" si="78"/>
        <v>1344.3000000000002</v>
      </c>
      <c r="AF19" s="50">
        <f t="shared" si="15"/>
        <v>135.43822500000002</v>
      </c>
      <c r="AG19" s="50">
        <f t="shared" si="16"/>
        <v>3792.2703000000006</v>
      </c>
      <c r="AH19" s="50">
        <f t="shared" si="17"/>
        <v>4063.1467500000003</v>
      </c>
      <c r="AI19" s="50">
        <f t="shared" si="18"/>
        <v>4198.5849750000007</v>
      </c>
      <c r="AJ19" s="30"/>
      <c r="AK19" s="49">
        <v>15</v>
      </c>
      <c r="AL19" s="50">
        <f t="shared" si="79"/>
        <v>1443.3</v>
      </c>
      <c r="AM19" s="50">
        <f t="shared" si="19"/>
        <v>145.412475</v>
      </c>
      <c r="AN19" s="50">
        <f t="shared" si="20"/>
        <v>4071.5493000000001</v>
      </c>
      <c r="AO19" s="50">
        <f t="shared" si="21"/>
        <v>4362.3742499999998</v>
      </c>
      <c r="AP19" s="50">
        <f t="shared" si="22"/>
        <v>4507.7867249999999</v>
      </c>
      <c r="AQ19" s="30"/>
      <c r="AR19" s="49">
        <v>15</v>
      </c>
      <c r="AS19" s="50">
        <f t="shared" si="80"/>
        <v>1556.1</v>
      </c>
      <c r="AT19" s="50">
        <f t="shared" si="23"/>
        <v>173.75412599999999</v>
      </c>
      <c r="AU19" s="50">
        <f t="shared" si="24"/>
        <v>4865.1155279999994</v>
      </c>
      <c r="AV19" s="50">
        <f t="shared" si="25"/>
        <v>5212.6237799999999</v>
      </c>
      <c r="AW19" s="50">
        <f t="shared" si="26"/>
        <v>5386.3779059999997</v>
      </c>
      <c r="AX19" s="30"/>
      <c r="AY19" s="49">
        <v>15</v>
      </c>
      <c r="AZ19" s="50">
        <f t="shared" si="81"/>
        <v>0</v>
      </c>
      <c r="BA19" s="50">
        <f t="shared" si="27"/>
        <v>0</v>
      </c>
      <c r="BB19" s="50">
        <f t="shared" si="82"/>
        <v>0</v>
      </c>
      <c r="BC19" s="50">
        <f t="shared" si="28"/>
        <v>0</v>
      </c>
      <c r="BD19" s="50">
        <f t="shared" si="29"/>
        <v>0</v>
      </c>
      <c r="BE19" s="30"/>
      <c r="BF19" s="49">
        <v>15</v>
      </c>
      <c r="BG19" s="50">
        <f t="shared" si="83"/>
        <v>0</v>
      </c>
      <c r="BH19" s="50">
        <f t="shared" si="30"/>
        <v>0</v>
      </c>
      <c r="BI19" s="50">
        <f t="shared" si="31"/>
        <v>0</v>
      </c>
      <c r="BJ19" s="50">
        <f t="shared" si="32"/>
        <v>0</v>
      </c>
      <c r="BK19" s="50">
        <f t="shared" si="33"/>
        <v>0</v>
      </c>
      <c r="BL19" s="30"/>
      <c r="BM19" s="49">
        <v>15</v>
      </c>
      <c r="BN19" s="50">
        <f t="shared" si="84"/>
        <v>0</v>
      </c>
      <c r="BO19" s="50">
        <f t="shared" si="34"/>
        <v>0</v>
      </c>
      <c r="BP19" s="50">
        <f t="shared" si="35"/>
        <v>0</v>
      </c>
      <c r="BQ19" s="50">
        <f t="shared" si="36"/>
        <v>0</v>
      </c>
      <c r="BR19" s="50">
        <f t="shared" si="37"/>
        <v>0</v>
      </c>
      <c r="BS19" s="30"/>
      <c r="BT19" s="49">
        <v>15</v>
      </c>
      <c r="BU19" s="50">
        <f t="shared" si="85"/>
        <v>0</v>
      </c>
      <c r="BV19" s="50">
        <f t="shared" si="38"/>
        <v>0</v>
      </c>
      <c r="BW19" s="50">
        <f t="shared" si="39"/>
        <v>0</v>
      </c>
      <c r="BX19" s="50">
        <f t="shared" si="40"/>
        <v>0</v>
      </c>
      <c r="BY19" s="50">
        <f t="shared" si="41"/>
        <v>0</v>
      </c>
      <c r="BZ19" s="30"/>
      <c r="CA19" s="49">
        <v>15</v>
      </c>
      <c r="CB19" s="50">
        <f t="shared" si="86"/>
        <v>0</v>
      </c>
      <c r="CC19" s="50">
        <f t="shared" si="42"/>
        <v>0</v>
      </c>
      <c r="CD19" s="50">
        <f t="shared" si="87"/>
        <v>0</v>
      </c>
      <c r="CE19" s="50">
        <f t="shared" si="43"/>
        <v>0</v>
      </c>
      <c r="CF19" s="50">
        <f t="shared" si="44"/>
        <v>0</v>
      </c>
      <c r="CG19" s="30"/>
      <c r="CH19" s="49">
        <v>15</v>
      </c>
      <c r="CI19" s="50">
        <f t="shared" si="88"/>
        <v>0</v>
      </c>
      <c r="CJ19" s="50">
        <f t="shared" si="45"/>
        <v>0</v>
      </c>
      <c r="CK19" s="50">
        <f t="shared" si="46"/>
        <v>0</v>
      </c>
      <c r="CL19" s="50">
        <f t="shared" si="47"/>
        <v>0</v>
      </c>
      <c r="CM19" s="50">
        <f t="shared" si="48"/>
        <v>0</v>
      </c>
      <c r="CN19" s="30"/>
      <c r="CO19" s="49">
        <v>15</v>
      </c>
      <c r="CP19" s="50">
        <f t="shared" si="89"/>
        <v>0</v>
      </c>
      <c r="CQ19" s="50">
        <f t="shared" si="49"/>
        <v>0</v>
      </c>
      <c r="CR19" s="50">
        <f t="shared" si="50"/>
        <v>0</v>
      </c>
      <c r="CS19" s="50">
        <f t="shared" si="51"/>
        <v>0</v>
      </c>
      <c r="CT19" s="50">
        <f t="shared" si="52"/>
        <v>0</v>
      </c>
      <c r="CU19" s="30"/>
      <c r="CV19" s="49">
        <v>15</v>
      </c>
      <c r="CW19" s="50">
        <f t="shared" si="90"/>
        <v>0</v>
      </c>
      <c r="CX19" s="50">
        <f t="shared" si="53"/>
        <v>0</v>
      </c>
      <c r="CY19" s="50">
        <f t="shared" si="54"/>
        <v>0</v>
      </c>
      <c r="CZ19" s="50">
        <f t="shared" si="55"/>
        <v>0</v>
      </c>
      <c r="DA19" s="50">
        <f t="shared" si="56"/>
        <v>0</v>
      </c>
      <c r="DB19" s="30"/>
      <c r="DC19" s="49">
        <v>15</v>
      </c>
      <c r="DD19" s="50">
        <f t="shared" si="91"/>
        <v>0</v>
      </c>
      <c r="DE19" s="50">
        <f t="shared" si="57"/>
        <v>0</v>
      </c>
      <c r="DF19" s="50">
        <f t="shared" si="58"/>
        <v>0</v>
      </c>
      <c r="DG19" s="50">
        <f t="shared" si="59"/>
        <v>0</v>
      </c>
      <c r="DH19" s="50">
        <f t="shared" si="60"/>
        <v>0</v>
      </c>
      <c r="DI19" s="30"/>
      <c r="DJ19" s="49">
        <v>15</v>
      </c>
      <c r="DK19" s="50">
        <f t="shared" si="92"/>
        <v>0</v>
      </c>
      <c r="DL19" s="50">
        <f t="shared" si="61"/>
        <v>0</v>
      </c>
      <c r="DM19" s="50">
        <f t="shared" si="62"/>
        <v>0</v>
      </c>
      <c r="DN19" s="50">
        <f t="shared" si="63"/>
        <v>0</v>
      </c>
      <c r="DO19" s="50">
        <f t="shared" si="64"/>
        <v>0</v>
      </c>
      <c r="DP19" s="30"/>
      <c r="DQ19" s="49">
        <v>15</v>
      </c>
      <c r="DR19" s="50">
        <f t="shared" si="93"/>
        <v>0</v>
      </c>
      <c r="DS19" s="50">
        <f t="shared" si="65"/>
        <v>0</v>
      </c>
      <c r="DT19" s="50">
        <f t="shared" si="66"/>
        <v>0</v>
      </c>
      <c r="DU19" s="50">
        <f t="shared" si="67"/>
        <v>0</v>
      </c>
      <c r="DV19" s="50">
        <f t="shared" si="68"/>
        <v>0</v>
      </c>
      <c r="DW19" s="30"/>
      <c r="DX19" s="49">
        <v>15</v>
      </c>
      <c r="DY19" s="50">
        <f t="shared" si="94"/>
        <v>0</v>
      </c>
      <c r="DZ19" s="50">
        <f t="shared" si="69"/>
        <v>0</v>
      </c>
      <c r="EA19" s="50">
        <f t="shared" si="70"/>
        <v>0</v>
      </c>
      <c r="EB19" s="50">
        <f t="shared" si="71"/>
        <v>0</v>
      </c>
      <c r="EC19" s="50">
        <f t="shared" si="72"/>
        <v>0</v>
      </c>
    </row>
    <row r="20" spans="2:133" x14ac:dyDescent="0.75">
      <c r="B20" s="49">
        <v>16</v>
      </c>
      <c r="C20" s="50">
        <f t="shared" si="73"/>
        <v>1207.8399999999999</v>
      </c>
      <c r="D20" s="50">
        <f t="shared" si="0"/>
        <v>121.68988</v>
      </c>
      <c r="E20" s="50">
        <f t="shared" si="1"/>
        <v>3407.31664</v>
      </c>
      <c r="F20" s="50">
        <f t="shared" si="2"/>
        <v>3650.6964000000003</v>
      </c>
      <c r="G20" s="50">
        <f t="shared" si="3"/>
        <v>3772.3862800000002</v>
      </c>
      <c r="H20" s="30"/>
      <c r="I20" s="49">
        <v>16</v>
      </c>
      <c r="J20" s="50">
        <f t="shared" si="74"/>
        <v>1289.5999999999999</v>
      </c>
      <c r="K20" s="50">
        <f t="shared" si="4"/>
        <v>129.9272</v>
      </c>
      <c r="L20" s="50">
        <f t="shared" si="5"/>
        <v>3637.9616000000001</v>
      </c>
      <c r="M20" s="50">
        <f t="shared" si="6"/>
        <v>3897.8159999999998</v>
      </c>
      <c r="N20" s="50">
        <f t="shared" si="7"/>
        <v>4027.7431999999999</v>
      </c>
      <c r="O20" s="30"/>
      <c r="P20" s="49">
        <v>16</v>
      </c>
      <c r="Q20" s="50">
        <f t="shared" si="75"/>
        <v>1351.84</v>
      </c>
      <c r="R20" s="50">
        <f t="shared" si="8"/>
        <v>136.19788</v>
      </c>
      <c r="S20" s="50">
        <f t="shared" si="9"/>
        <v>3813.5406400000002</v>
      </c>
      <c r="T20" s="50">
        <f t="shared" si="10"/>
        <v>4085.9364</v>
      </c>
      <c r="U20" s="50">
        <f t="shared" si="11"/>
        <v>4222.1342800000002</v>
      </c>
      <c r="V20" s="30"/>
      <c r="W20" s="49">
        <v>16</v>
      </c>
      <c r="X20" s="50">
        <f t="shared" si="76"/>
        <v>1390.08</v>
      </c>
      <c r="Y20" s="50">
        <f t="shared" si="12"/>
        <v>140.05055999999999</v>
      </c>
      <c r="Z20" s="50">
        <f t="shared" si="77"/>
        <v>3921.4156799999996</v>
      </c>
      <c r="AA20" s="50">
        <f t="shared" si="13"/>
        <v>4201.5167999999994</v>
      </c>
      <c r="AB20" s="50">
        <f t="shared" si="14"/>
        <v>4341.56736</v>
      </c>
      <c r="AC20" s="30"/>
      <c r="AD20" s="49">
        <v>16</v>
      </c>
      <c r="AE20" s="50">
        <f t="shared" si="78"/>
        <v>1433.92</v>
      </c>
      <c r="AF20" s="50">
        <f t="shared" si="15"/>
        <v>144.46744000000001</v>
      </c>
      <c r="AG20" s="50">
        <f t="shared" si="16"/>
        <v>4045.0883200000003</v>
      </c>
      <c r="AH20" s="50">
        <f t="shared" si="17"/>
        <v>4334.0232000000005</v>
      </c>
      <c r="AI20" s="50">
        <f t="shared" si="18"/>
        <v>4478.49064</v>
      </c>
      <c r="AJ20" s="30"/>
      <c r="AK20" s="49">
        <v>16</v>
      </c>
      <c r="AL20" s="50">
        <f t="shared" si="79"/>
        <v>1539.52</v>
      </c>
      <c r="AM20" s="50">
        <f t="shared" si="19"/>
        <v>155.10664</v>
      </c>
      <c r="AN20" s="50">
        <f t="shared" si="20"/>
        <v>4342.9859200000001</v>
      </c>
      <c r="AO20" s="50">
        <f t="shared" si="21"/>
        <v>4653.1992</v>
      </c>
      <c r="AP20" s="50">
        <f t="shared" si="22"/>
        <v>4808.30584</v>
      </c>
      <c r="AQ20" s="30"/>
      <c r="AR20" s="49">
        <v>16</v>
      </c>
      <c r="AS20" s="50">
        <f t="shared" si="80"/>
        <v>1659.84</v>
      </c>
      <c r="AT20" s="50">
        <f t="shared" si="23"/>
        <v>185.33773439999999</v>
      </c>
      <c r="AU20" s="50">
        <f t="shared" si="24"/>
        <v>5189.4565631999994</v>
      </c>
      <c r="AV20" s="50">
        <f t="shared" si="25"/>
        <v>5560.1320319999995</v>
      </c>
      <c r="AW20" s="50">
        <f t="shared" si="26"/>
        <v>5745.4697663999996</v>
      </c>
      <c r="AX20" s="30"/>
      <c r="AY20" s="49">
        <v>16</v>
      </c>
      <c r="AZ20" s="50">
        <f t="shared" si="81"/>
        <v>0</v>
      </c>
      <c r="BA20" s="50">
        <f t="shared" si="27"/>
        <v>0</v>
      </c>
      <c r="BB20" s="50">
        <f t="shared" si="82"/>
        <v>0</v>
      </c>
      <c r="BC20" s="50">
        <f t="shared" si="28"/>
        <v>0</v>
      </c>
      <c r="BD20" s="50">
        <f t="shared" si="29"/>
        <v>0</v>
      </c>
      <c r="BE20" s="30"/>
      <c r="BF20" s="49">
        <v>16</v>
      </c>
      <c r="BG20" s="50">
        <f t="shared" si="83"/>
        <v>0</v>
      </c>
      <c r="BH20" s="50">
        <f t="shared" si="30"/>
        <v>0</v>
      </c>
      <c r="BI20" s="50">
        <f t="shared" si="31"/>
        <v>0</v>
      </c>
      <c r="BJ20" s="50">
        <f t="shared" si="32"/>
        <v>0</v>
      </c>
      <c r="BK20" s="50">
        <f t="shared" si="33"/>
        <v>0</v>
      </c>
      <c r="BL20" s="30"/>
      <c r="BM20" s="49">
        <v>16</v>
      </c>
      <c r="BN20" s="50">
        <f t="shared" si="84"/>
        <v>0</v>
      </c>
      <c r="BO20" s="50">
        <f t="shared" si="34"/>
        <v>0</v>
      </c>
      <c r="BP20" s="50">
        <f t="shared" si="35"/>
        <v>0</v>
      </c>
      <c r="BQ20" s="50">
        <f t="shared" si="36"/>
        <v>0</v>
      </c>
      <c r="BR20" s="50">
        <f t="shared" si="37"/>
        <v>0</v>
      </c>
      <c r="BS20" s="30"/>
      <c r="BT20" s="49">
        <v>16</v>
      </c>
      <c r="BU20" s="50">
        <f t="shared" si="85"/>
        <v>0</v>
      </c>
      <c r="BV20" s="50">
        <f t="shared" si="38"/>
        <v>0</v>
      </c>
      <c r="BW20" s="50">
        <f t="shared" si="39"/>
        <v>0</v>
      </c>
      <c r="BX20" s="50">
        <f t="shared" si="40"/>
        <v>0</v>
      </c>
      <c r="BY20" s="50">
        <f t="shared" si="41"/>
        <v>0</v>
      </c>
      <c r="BZ20" s="30"/>
      <c r="CA20" s="49">
        <v>16</v>
      </c>
      <c r="CB20" s="50">
        <f t="shared" si="86"/>
        <v>0</v>
      </c>
      <c r="CC20" s="50">
        <f t="shared" si="42"/>
        <v>0</v>
      </c>
      <c r="CD20" s="50">
        <f t="shared" si="87"/>
        <v>0</v>
      </c>
      <c r="CE20" s="50">
        <f t="shared" si="43"/>
        <v>0</v>
      </c>
      <c r="CF20" s="50">
        <f t="shared" si="44"/>
        <v>0</v>
      </c>
      <c r="CG20" s="30"/>
      <c r="CH20" s="49">
        <v>16</v>
      </c>
      <c r="CI20" s="50">
        <f t="shared" si="88"/>
        <v>0</v>
      </c>
      <c r="CJ20" s="50">
        <f t="shared" si="45"/>
        <v>0</v>
      </c>
      <c r="CK20" s="50">
        <f t="shared" si="46"/>
        <v>0</v>
      </c>
      <c r="CL20" s="50">
        <f t="shared" si="47"/>
        <v>0</v>
      </c>
      <c r="CM20" s="50">
        <f t="shared" si="48"/>
        <v>0</v>
      </c>
      <c r="CN20" s="30"/>
      <c r="CO20" s="49">
        <v>16</v>
      </c>
      <c r="CP20" s="50">
        <f t="shared" si="89"/>
        <v>0</v>
      </c>
      <c r="CQ20" s="50">
        <f t="shared" si="49"/>
        <v>0</v>
      </c>
      <c r="CR20" s="50">
        <f t="shared" si="50"/>
        <v>0</v>
      </c>
      <c r="CS20" s="50">
        <f t="shared" si="51"/>
        <v>0</v>
      </c>
      <c r="CT20" s="50">
        <f t="shared" si="52"/>
        <v>0</v>
      </c>
      <c r="CU20" s="30"/>
      <c r="CV20" s="49">
        <v>16</v>
      </c>
      <c r="CW20" s="50">
        <f t="shared" si="90"/>
        <v>0</v>
      </c>
      <c r="CX20" s="50">
        <f t="shared" si="53"/>
        <v>0</v>
      </c>
      <c r="CY20" s="50">
        <f t="shared" si="54"/>
        <v>0</v>
      </c>
      <c r="CZ20" s="50">
        <f t="shared" si="55"/>
        <v>0</v>
      </c>
      <c r="DA20" s="50">
        <f t="shared" si="56"/>
        <v>0</v>
      </c>
      <c r="DB20" s="30"/>
      <c r="DC20" s="49">
        <v>16</v>
      </c>
      <c r="DD20" s="50">
        <f t="shared" si="91"/>
        <v>0</v>
      </c>
      <c r="DE20" s="50">
        <f t="shared" si="57"/>
        <v>0</v>
      </c>
      <c r="DF20" s="50">
        <f t="shared" si="58"/>
        <v>0</v>
      </c>
      <c r="DG20" s="50">
        <f t="shared" si="59"/>
        <v>0</v>
      </c>
      <c r="DH20" s="50">
        <f t="shared" si="60"/>
        <v>0</v>
      </c>
      <c r="DI20" s="30"/>
      <c r="DJ20" s="49">
        <v>16</v>
      </c>
      <c r="DK20" s="50">
        <f t="shared" si="92"/>
        <v>0</v>
      </c>
      <c r="DL20" s="50">
        <f t="shared" si="61"/>
        <v>0</v>
      </c>
      <c r="DM20" s="50">
        <f t="shared" si="62"/>
        <v>0</v>
      </c>
      <c r="DN20" s="50">
        <f t="shared" si="63"/>
        <v>0</v>
      </c>
      <c r="DO20" s="50">
        <f t="shared" si="64"/>
        <v>0</v>
      </c>
      <c r="DP20" s="30"/>
      <c r="DQ20" s="49">
        <v>16</v>
      </c>
      <c r="DR20" s="50">
        <f t="shared" si="93"/>
        <v>0</v>
      </c>
      <c r="DS20" s="50">
        <f t="shared" si="65"/>
        <v>0</v>
      </c>
      <c r="DT20" s="50">
        <f t="shared" si="66"/>
        <v>0</v>
      </c>
      <c r="DU20" s="50">
        <f t="shared" si="67"/>
        <v>0</v>
      </c>
      <c r="DV20" s="50">
        <f t="shared" si="68"/>
        <v>0</v>
      </c>
      <c r="DW20" s="30"/>
      <c r="DX20" s="49">
        <v>16</v>
      </c>
      <c r="DY20" s="50">
        <f t="shared" si="94"/>
        <v>0</v>
      </c>
      <c r="DZ20" s="50">
        <f t="shared" si="69"/>
        <v>0</v>
      </c>
      <c r="EA20" s="50">
        <f t="shared" si="70"/>
        <v>0</v>
      </c>
      <c r="EB20" s="50">
        <f t="shared" si="71"/>
        <v>0</v>
      </c>
      <c r="EC20" s="50">
        <f t="shared" si="72"/>
        <v>0</v>
      </c>
    </row>
    <row r="21" spans="2:133" x14ac:dyDescent="0.75">
      <c r="B21" s="49">
        <v>17</v>
      </c>
      <c r="C21" s="50">
        <f t="shared" si="73"/>
        <v>1283.33</v>
      </c>
      <c r="D21" s="50">
        <f t="shared" si="0"/>
        <v>129.29549750000001</v>
      </c>
      <c r="E21" s="50">
        <f t="shared" si="1"/>
        <v>3620.2739300000003</v>
      </c>
      <c r="F21" s="50">
        <f t="shared" si="2"/>
        <v>3878.8649250000003</v>
      </c>
      <c r="G21" s="50">
        <f t="shared" si="3"/>
        <v>4008.1604225000001</v>
      </c>
      <c r="H21" s="30"/>
      <c r="I21" s="49">
        <v>17</v>
      </c>
      <c r="J21" s="50">
        <f t="shared" si="74"/>
        <v>1370.1999999999998</v>
      </c>
      <c r="K21" s="50">
        <f t="shared" si="4"/>
        <v>138.04764999999998</v>
      </c>
      <c r="L21" s="50">
        <f t="shared" si="5"/>
        <v>3865.3341999999993</v>
      </c>
      <c r="M21" s="50">
        <f t="shared" si="6"/>
        <v>4141.4294999999993</v>
      </c>
      <c r="N21" s="50">
        <f t="shared" si="7"/>
        <v>4279.4771499999988</v>
      </c>
      <c r="O21" s="30"/>
      <c r="P21" s="49">
        <v>17</v>
      </c>
      <c r="Q21" s="50">
        <f t="shared" si="75"/>
        <v>1436.33</v>
      </c>
      <c r="R21" s="50">
        <f t="shared" si="8"/>
        <v>144.71024750000001</v>
      </c>
      <c r="S21" s="50">
        <f t="shared" si="9"/>
        <v>4051.8869300000001</v>
      </c>
      <c r="T21" s="50">
        <f t="shared" si="10"/>
        <v>4341.307425</v>
      </c>
      <c r="U21" s="50">
        <f t="shared" si="11"/>
        <v>4486.0176725000001</v>
      </c>
      <c r="V21" s="30"/>
      <c r="W21" s="49">
        <v>17</v>
      </c>
      <c r="X21" s="50">
        <f t="shared" si="76"/>
        <v>1476.96</v>
      </c>
      <c r="Y21" s="50">
        <f t="shared" si="12"/>
        <v>148.80372000000003</v>
      </c>
      <c r="Z21" s="50">
        <f t="shared" si="77"/>
        <v>4166.5041600000004</v>
      </c>
      <c r="AA21" s="50">
        <f t="shared" si="13"/>
        <v>4464.1116000000011</v>
      </c>
      <c r="AB21" s="50">
        <f t="shared" si="14"/>
        <v>4612.915320000001</v>
      </c>
      <c r="AC21" s="30"/>
      <c r="AD21" s="49">
        <v>17</v>
      </c>
      <c r="AE21" s="50">
        <f t="shared" si="78"/>
        <v>1523.54</v>
      </c>
      <c r="AF21" s="50">
        <f t="shared" si="15"/>
        <v>153.496655</v>
      </c>
      <c r="AG21" s="50">
        <f t="shared" si="16"/>
        <v>4297.9063400000005</v>
      </c>
      <c r="AH21" s="50">
        <f t="shared" si="17"/>
        <v>4604.8996500000003</v>
      </c>
      <c r="AI21" s="50">
        <f t="shared" si="18"/>
        <v>4758.3963050000002</v>
      </c>
      <c r="AJ21" s="30"/>
      <c r="AK21" s="49">
        <v>17</v>
      </c>
      <c r="AL21" s="50">
        <f t="shared" si="79"/>
        <v>1635.74</v>
      </c>
      <c r="AM21" s="50">
        <f t="shared" si="19"/>
        <v>164.80080500000003</v>
      </c>
      <c r="AN21" s="50">
        <f t="shared" si="20"/>
        <v>4614.4225400000005</v>
      </c>
      <c r="AO21" s="50">
        <f t="shared" si="21"/>
        <v>4944.0241500000011</v>
      </c>
      <c r="AP21" s="50">
        <f t="shared" si="22"/>
        <v>5108.824955000001</v>
      </c>
      <c r="AQ21" s="30"/>
      <c r="AR21" s="49">
        <v>17</v>
      </c>
      <c r="AS21" s="50">
        <f t="shared" si="80"/>
        <v>1763.58</v>
      </c>
      <c r="AT21" s="50">
        <f t="shared" si="23"/>
        <v>196.92134279999999</v>
      </c>
      <c r="AU21" s="50">
        <f t="shared" si="24"/>
        <v>5513.7975983999995</v>
      </c>
      <c r="AV21" s="50">
        <f t="shared" si="25"/>
        <v>5907.6402840000001</v>
      </c>
      <c r="AW21" s="50">
        <f t="shared" si="26"/>
        <v>6104.5616267999994</v>
      </c>
      <c r="AX21" s="30"/>
      <c r="AY21" s="49">
        <v>17</v>
      </c>
      <c r="AZ21" s="50">
        <f t="shared" si="81"/>
        <v>0</v>
      </c>
      <c r="BA21" s="50">
        <f t="shared" si="27"/>
        <v>0</v>
      </c>
      <c r="BB21" s="50">
        <f t="shared" si="82"/>
        <v>0</v>
      </c>
      <c r="BC21" s="50">
        <f t="shared" si="28"/>
        <v>0</v>
      </c>
      <c r="BD21" s="50">
        <f t="shared" si="29"/>
        <v>0</v>
      </c>
      <c r="BE21" s="30"/>
      <c r="BF21" s="49">
        <v>17</v>
      </c>
      <c r="BG21" s="50">
        <f t="shared" si="83"/>
        <v>0</v>
      </c>
      <c r="BH21" s="50">
        <f t="shared" si="30"/>
        <v>0</v>
      </c>
      <c r="BI21" s="50">
        <f t="shared" si="31"/>
        <v>0</v>
      </c>
      <c r="BJ21" s="50">
        <f t="shared" si="32"/>
        <v>0</v>
      </c>
      <c r="BK21" s="50">
        <f t="shared" si="33"/>
        <v>0</v>
      </c>
      <c r="BL21" s="30"/>
      <c r="BM21" s="49">
        <v>17</v>
      </c>
      <c r="BN21" s="50">
        <f t="shared" si="84"/>
        <v>0</v>
      </c>
      <c r="BO21" s="50">
        <f t="shared" si="34"/>
        <v>0</v>
      </c>
      <c r="BP21" s="50">
        <f t="shared" si="35"/>
        <v>0</v>
      </c>
      <c r="BQ21" s="50">
        <f t="shared" si="36"/>
        <v>0</v>
      </c>
      <c r="BR21" s="50">
        <f t="shared" si="37"/>
        <v>0</v>
      </c>
      <c r="BS21" s="30"/>
      <c r="BT21" s="49">
        <v>17</v>
      </c>
      <c r="BU21" s="50">
        <f t="shared" si="85"/>
        <v>0</v>
      </c>
      <c r="BV21" s="50">
        <f t="shared" si="38"/>
        <v>0</v>
      </c>
      <c r="BW21" s="50">
        <f t="shared" si="39"/>
        <v>0</v>
      </c>
      <c r="BX21" s="50">
        <f t="shared" si="40"/>
        <v>0</v>
      </c>
      <c r="BY21" s="50">
        <f t="shared" si="41"/>
        <v>0</v>
      </c>
      <c r="BZ21" s="30"/>
      <c r="CA21" s="49">
        <v>17</v>
      </c>
      <c r="CB21" s="50">
        <f t="shared" si="86"/>
        <v>0</v>
      </c>
      <c r="CC21" s="50">
        <f t="shared" si="42"/>
        <v>0</v>
      </c>
      <c r="CD21" s="50">
        <f t="shared" si="87"/>
        <v>0</v>
      </c>
      <c r="CE21" s="50">
        <f t="shared" si="43"/>
        <v>0</v>
      </c>
      <c r="CF21" s="50">
        <f t="shared" si="44"/>
        <v>0</v>
      </c>
      <c r="CG21" s="30"/>
      <c r="CH21" s="49">
        <v>17</v>
      </c>
      <c r="CI21" s="50">
        <f t="shared" si="88"/>
        <v>0</v>
      </c>
      <c r="CJ21" s="50">
        <f t="shared" si="45"/>
        <v>0</v>
      </c>
      <c r="CK21" s="50">
        <f t="shared" si="46"/>
        <v>0</v>
      </c>
      <c r="CL21" s="50">
        <f t="shared" si="47"/>
        <v>0</v>
      </c>
      <c r="CM21" s="50">
        <f t="shared" si="48"/>
        <v>0</v>
      </c>
      <c r="CN21" s="30"/>
      <c r="CO21" s="49">
        <v>17</v>
      </c>
      <c r="CP21" s="50">
        <f t="shared" si="89"/>
        <v>0</v>
      </c>
      <c r="CQ21" s="50">
        <f t="shared" si="49"/>
        <v>0</v>
      </c>
      <c r="CR21" s="50">
        <f t="shared" si="50"/>
        <v>0</v>
      </c>
      <c r="CS21" s="50">
        <f t="shared" si="51"/>
        <v>0</v>
      </c>
      <c r="CT21" s="50">
        <f t="shared" si="52"/>
        <v>0</v>
      </c>
      <c r="CU21" s="30"/>
      <c r="CV21" s="49">
        <v>17</v>
      </c>
      <c r="CW21" s="50">
        <f t="shared" si="90"/>
        <v>0</v>
      </c>
      <c r="CX21" s="50">
        <f t="shared" si="53"/>
        <v>0</v>
      </c>
      <c r="CY21" s="50">
        <f t="shared" si="54"/>
        <v>0</v>
      </c>
      <c r="CZ21" s="50">
        <f t="shared" si="55"/>
        <v>0</v>
      </c>
      <c r="DA21" s="50">
        <f t="shared" si="56"/>
        <v>0</v>
      </c>
      <c r="DB21" s="30"/>
      <c r="DC21" s="49">
        <v>17</v>
      </c>
      <c r="DD21" s="50">
        <f t="shared" si="91"/>
        <v>0</v>
      </c>
      <c r="DE21" s="50">
        <f t="shared" si="57"/>
        <v>0</v>
      </c>
      <c r="DF21" s="50">
        <f t="shared" si="58"/>
        <v>0</v>
      </c>
      <c r="DG21" s="50">
        <f t="shared" si="59"/>
        <v>0</v>
      </c>
      <c r="DH21" s="50">
        <f t="shared" si="60"/>
        <v>0</v>
      </c>
      <c r="DI21" s="30"/>
      <c r="DJ21" s="49">
        <v>17</v>
      </c>
      <c r="DK21" s="50">
        <f t="shared" si="92"/>
        <v>0</v>
      </c>
      <c r="DL21" s="50">
        <f t="shared" si="61"/>
        <v>0</v>
      </c>
      <c r="DM21" s="50">
        <f t="shared" si="62"/>
        <v>0</v>
      </c>
      <c r="DN21" s="50">
        <f t="shared" si="63"/>
        <v>0</v>
      </c>
      <c r="DO21" s="50">
        <f t="shared" si="64"/>
        <v>0</v>
      </c>
      <c r="DP21" s="30"/>
      <c r="DQ21" s="49">
        <v>17</v>
      </c>
      <c r="DR21" s="50">
        <f t="shared" si="93"/>
        <v>0</v>
      </c>
      <c r="DS21" s="50">
        <f t="shared" si="65"/>
        <v>0</v>
      </c>
      <c r="DT21" s="50">
        <f t="shared" si="66"/>
        <v>0</v>
      </c>
      <c r="DU21" s="50">
        <f t="shared" si="67"/>
        <v>0</v>
      </c>
      <c r="DV21" s="50">
        <f t="shared" si="68"/>
        <v>0</v>
      </c>
      <c r="DW21" s="30"/>
      <c r="DX21" s="49">
        <v>17</v>
      </c>
      <c r="DY21" s="50">
        <f t="shared" si="94"/>
        <v>0</v>
      </c>
      <c r="DZ21" s="50">
        <f t="shared" si="69"/>
        <v>0</v>
      </c>
      <c r="EA21" s="50">
        <f t="shared" si="70"/>
        <v>0</v>
      </c>
      <c r="EB21" s="50">
        <f t="shared" si="71"/>
        <v>0</v>
      </c>
      <c r="EC21" s="50">
        <f t="shared" si="72"/>
        <v>0</v>
      </c>
    </row>
    <row r="22" spans="2:133" x14ac:dyDescent="0.75">
      <c r="B22" s="49">
        <v>18</v>
      </c>
      <c r="C22" s="50">
        <f t="shared" si="73"/>
        <v>1358.82</v>
      </c>
      <c r="D22" s="50">
        <f t="shared" si="0"/>
        <v>136.901115</v>
      </c>
      <c r="E22" s="50">
        <f t="shared" si="1"/>
        <v>3833.2312200000001</v>
      </c>
      <c r="F22" s="50">
        <f t="shared" si="2"/>
        <v>4107.0334499999999</v>
      </c>
      <c r="G22" s="50">
        <f t="shared" si="3"/>
        <v>4243.9345650000005</v>
      </c>
      <c r="H22" s="30"/>
      <c r="I22" s="49">
        <v>18</v>
      </c>
      <c r="J22" s="50">
        <f t="shared" si="74"/>
        <v>1450.8</v>
      </c>
      <c r="K22" s="50">
        <f t="shared" si="4"/>
        <v>146.16810000000001</v>
      </c>
      <c r="L22" s="50">
        <f t="shared" si="5"/>
        <v>4092.7068000000004</v>
      </c>
      <c r="M22" s="50">
        <f t="shared" si="6"/>
        <v>4385.0430000000006</v>
      </c>
      <c r="N22" s="50">
        <f t="shared" si="7"/>
        <v>4531.2111000000004</v>
      </c>
      <c r="O22" s="30"/>
      <c r="P22" s="49">
        <v>18</v>
      </c>
      <c r="Q22" s="50">
        <f t="shared" si="75"/>
        <v>1520.82</v>
      </c>
      <c r="R22" s="50">
        <f t="shared" si="8"/>
        <v>153.22261499999999</v>
      </c>
      <c r="S22" s="50">
        <f t="shared" si="9"/>
        <v>4290.2332200000001</v>
      </c>
      <c r="T22" s="50">
        <f t="shared" si="10"/>
        <v>4596.6784499999994</v>
      </c>
      <c r="U22" s="50">
        <f t="shared" si="11"/>
        <v>4749.901065</v>
      </c>
      <c r="V22" s="30"/>
      <c r="W22" s="49">
        <v>18</v>
      </c>
      <c r="X22" s="50">
        <f t="shared" si="76"/>
        <v>1563.84</v>
      </c>
      <c r="Y22" s="50">
        <f t="shared" si="12"/>
        <v>157.55688000000001</v>
      </c>
      <c r="Z22" s="50">
        <f t="shared" si="77"/>
        <v>4411.5926399999998</v>
      </c>
      <c r="AA22" s="50">
        <f t="shared" si="13"/>
        <v>4726.7064</v>
      </c>
      <c r="AB22" s="50">
        <f t="shared" si="14"/>
        <v>4884.2632800000001</v>
      </c>
      <c r="AC22" s="30"/>
      <c r="AD22" s="49">
        <v>18</v>
      </c>
      <c r="AE22" s="50">
        <f t="shared" si="78"/>
        <v>1613.16</v>
      </c>
      <c r="AF22" s="50">
        <f t="shared" si="15"/>
        <v>162.52587000000003</v>
      </c>
      <c r="AG22" s="50">
        <f t="shared" si="16"/>
        <v>4550.7243600000011</v>
      </c>
      <c r="AH22" s="50">
        <f t="shared" si="17"/>
        <v>4875.776100000001</v>
      </c>
      <c r="AI22" s="50">
        <f t="shared" si="18"/>
        <v>5038.3019700000004</v>
      </c>
      <c r="AJ22" s="30"/>
      <c r="AK22" s="49">
        <v>18</v>
      </c>
      <c r="AL22" s="50">
        <f t="shared" si="79"/>
        <v>1731.96</v>
      </c>
      <c r="AM22" s="50">
        <f t="shared" si="19"/>
        <v>174.49497000000002</v>
      </c>
      <c r="AN22" s="50">
        <f t="shared" si="20"/>
        <v>4885.8591600000009</v>
      </c>
      <c r="AO22" s="50">
        <f t="shared" si="21"/>
        <v>5234.8491000000004</v>
      </c>
      <c r="AP22" s="50">
        <f t="shared" si="22"/>
        <v>5409.344070000001</v>
      </c>
      <c r="AQ22" s="30"/>
      <c r="AR22" s="49">
        <v>18</v>
      </c>
      <c r="AS22" s="50">
        <f t="shared" si="80"/>
        <v>1867.32</v>
      </c>
      <c r="AT22" s="50">
        <f t="shared" si="23"/>
        <v>208.50495119999999</v>
      </c>
      <c r="AU22" s="50">
        <f t="shared" si="24"/>
        <v>5838.1386335999996</v>
      </c>
      <c r="AV22" s="50">
        <f t="shared" si="25"/>
        <v>6255.1485359999997</v>
      </c>
      <c r="AW22" s="50">
        <f t="shared" si="26"/>
        <v>6463.6534872000002</v>
      </c>
      <c r="AX22" s="30"/>
      <c r="AY22" s="49">
        <v>18</v>
      </c>
      <c r="AZ22" s="50">
        <f t="shared" si="81"/>
        <v>0</v>
      </c>
      <c r="BA22" s="50">
        <f t="shared" si="27"/>
        <v>0</v>
      </c>
      <c r="BB22" s="50">
        <f t="shared" si="82"/>
        <v>0</v>
      </c>
      <c r="BC22" s="50">
        <f t="shared" si="28"/>
        <v>0</v>
      </c>
      <c r="BD22" s="50">
        <f t="shared" si="29"/>
        <v>0</v>
      </c>
      <c r="BE22" s="30"/>
      <c r="BF22" s="49">
        <v>18</v>
      </c>
      <c r="BG22" s="50">
        <f t="shared" si="83"/>
        <v>0</v>
      </c>
      <c r="BH22" s="50">
        <f t="shared" si="30"/>
        <v>0</v>
      </c>
      <c r="BI22" s="50">
        <f t="shared" si="31"/>
        <v>0</v>
      </c>
      <c r="BJ22" s="50">
        <f t="shared" si="32"/>
        <v>0</v>
      </c>
      <c r="BK22" s="50">
        <f t="shared" si="33"/>
        <v>0</v>
      </c>
      <c r="BL22" s="30"/>
      <c r="BM22" s="49">
        <v>18</v>
      </c>
      <c r="BN22" s="50">
        <f t="shared" si="84"/>
        <v>0</v>
      </c>
      <c r="BO22" s="50">
        <f t="shared" si="34"/>
        <v>0</v>
      </c>
      <c r="BP22" s="50">
        <f t="shared" si="35"/>
        <v>0</v>
      </c>
      <c r="BQ22" s="50">
        <f t="shared" si="36"/>
        <v>0</v>
      </c>
      <c r="BR22" s="50">
        <f t="shared" si="37"/>
        <v>0</v>
      </c>
      <c r="BS22" s="30"/>
      <c r="BT22" s="49">
        <v>18</v>
      </c>
      <c r="BU22" s="50">
        <f t="shared" si="85"/>
        <v>0</v>
      </c>
      <c r="BV22" s="50">
        <f t="shared" si="38"/>
        <v>0</v>
      </c>
      <c r="BW22" s="50">
        <f t="shared" si="39"/>
        <v>0</v>
      </c>
      <c r="BX22" s="50">
        <f t="shared" si="40"/>
        <v>0</v>
      </c>
      <c r="BY22" s="50">
        <f t="shared" si="41"/>
        <v>0</v>
      </c>
      <c r="BZ22" s="30"/>
      <c r="CA22" s="49">
        <v>18</v>
      </c>
      <c r="CB22" s="50">
        <f t="shared" si="86"/>
        <v>0</v>
      </c>
      <c r="CC22" s="50">
        <f t="shared" si="42"/>
        <v>0</v>
      </c>
      <c r="CD22" s="50">
        <f t="shared" si="87"/>
        <v>0</v>
      </c>
      <c r="CE22" s="50">
        <f t="shared" si="43"/>
        <v>0</v>
      </c>
      <c r="CF22" s="50">
        <f t="shared" si="44"/>
        <v>0</v>
      </c>
      <c r="CG22" s="30"/>
      <c r="CH22" s="49">
        <v>18</v>
      </c>
      <c r="CI22" s="50">
        <f t="shared" si="88"/>
        <v>0</v>
      </c>
      <c r="CJ22" s="50">
        <f t="shared" si="45"/>
        <v>0</v>
      </c>
      <c r="CK22" s="50">
        <f t="shared" si="46"/>
        <v>0</v>
      </c>
      <c r="CL22" s="50">
        <f t="shared" si="47"/>
        <v>0</v>
      </c>
      <c r="CM22" s="50">
        <f t="shared" si="48"/>
        <v>0</v>
      </c>
      <c r="CN22" s="30"/>
      <c r="CO22" s="49">
        <v>18</v>
      </c>
      <c r="CP22" s="50">
        <f t="shared" si="89"/>
        <v>0</v>
      </c>
      <c r="CQ22" s="50">
        <f t="shared" si="49"/>
        <v>0</v>
      </c>
      <c r="CR22" s="50">
        <f t="shared" si="50"/>
        <v>0</v>
      </c>
      <c r="CS22" s="50">
        <f t="shared" si="51"/>
        <v>0</v>
      </c>
      <c r="CT22" s="50">
        <f t="shared" si="52"/>
        <v>0</v>
      </c>
      <c r="CU22" s="30"/>
      <c r="CV22" s="49">
        <v>18</v>
      </c>
      <c r="CW22" s="50">
        <f t="shared" si="90"/>
        <v>0</v>
      </c>
      <c r="CX22" s="50">
        <f t="shared" si="53"/>
        <v>0</v>
      </c>
      <c r="CY22" s="50">
        <f t="shared" si="54"/>
        <v>0</v>
      </c>
      <c r="CZ22" s="50">
        <f t="shared" si="55"/>
        <v>0</v>
      </c>
      <c r="DA22" s="50">
        <f t="shared" si="56"/>
        <v>0</v>
      </c>
      <c r="DB22" s="30"/>
      <c r="DC22" s="49">
        <v>18</v>
      </c>
      <c r="DD22" s="50">
        <f t="shared" si="91"/>
        <v>0</v>
      </c>
      <c r="DE22" s="50">
        <f t="shared" si="57"/>
        <v>0</v>
      </c>
      <c r="DF22" s="50">
        <f t="shared" si="58"/>
        <v>0</v>
      </c>
      <c r="DG22" s="50">
        <f t="shared" si="59"/>
        <v>0</v>
      </c>
      <c r="DH22" s="50">
        <f t="shared" si="60"/>
        <v>0</v>
      </c>
      <c r="DI22" s="30"/>
      <c r="DJ22" s="49">
        <v>18</v>
      </c>
      <c r="DK22" s="50">
        <f t="shared" si="92"/>
        <v>0</v>
      </c>
      <c r="DL22" s="50">
        <f t="shared" si="61"/>
        <v>0</v>
      </c>
      <c r="DM22" s="50">
        <f t="shared" si="62"/>
        <v>0</v>
      </c>
      <c r="DN22" s="50">
        <f t="shared" si="63"/>
        <v>0</v>
      </c>
      <c r="DO22" s="50">
        <f t="shared" si="64"/>
        <v>0</v>
      </c>
      <c r="DP22" s="30"/>
      <c r="DQ22" s="49">
        <v>18</v>
      </c>
      <c r="DR22" s="50">
        <f t="shared" si="93"/>
        <v>0</v>
      </c>
      <c r="DS22" s="50">
        <f t="shared" si="65"/>
        <v>0</v>
      </c>
      <c r="DT22" s="50">
        <f t="shared" si="66"/>
        <v>0</v>
      </c>
      <c r="DU22" s="50">
        <f t="shared" si="67"/>
        <v>0</v>
      </c>
      <c r="DV22" s="50">
        <f t="shared" si="68"/>
        <v>0</v>
      </c>
      <c r="DW22" s="30"/>
      <c r="DX22" s="49">
        <v>18</v>
      </c>
      <c r="DY22" s="50">
        <f t="shared" si="94"/>
        <v>0</v>
      </c>
      <c r="DZ22" s="50">
        <f t="shared" si="69"/>
        <v>0</v>
      </c>
      <c r="EA22" s="50">
        <f t="shared" si="70"/>
        <v>0</v>
      </c>
      <c r="EB22" s="50">
        <f t="shared" si="71"/>
        <v>0</v>
      </c>
      <c r="EC22" s="50">
        <f t="shared" si="72"/>
        <v>0</v>
      </c>
    </row>
    <row r="23" spans="2:133" x14ac:dyDescent="0.75">
      <c r="B23" s="49">
        <v>19</v>
      </c>
      <c r="C23" s="50">
        <f t="shared" si="73"/>
        <v>1434.31</v>
      </c>
      <c r="D23" s="50">
        <f t="shared" si="0"/>
        <v>144.5067325</v>
      </c>
      <c r="E23" s="50">
        <f t="shared" si="1"/>
        <v>4046.18851</v>
      </c>
      <c r="F23" s="50">
        <f t="shared" si="2"/>
        <v>4335.2019749999999</v>
      </c>
      <c r="G23" s="50">
        <f t="shared" si="3"/>
        <v>4479.7087074999999</v>
      </c>
      <c r="H23" s="30"/>
      <c r="I23" s="49">
        <v>19</v>
      </c>
      <c r="J23" s="50">
        <f t="shared" si="74"/>
        <v>1531.3999999999999</v>
      </c>
      <c r="K23" s="50">
        <f t="shared" si="4"/>
        <v>154.28854999999999</v>
      </c>
      <c r="L23" s="50">
        <f t="shared" si="5"/>
        <v>4320.0793999999996</v>
      </c>
      <c r="M23" s="50">
        <f t="shared" si="6"/>
        <v>4628.6564999999991</v>
      </c>
      <c r="N23" s="50">
        <f t="shared" si="7"/>
        <v>4782.9450499999994</v>
      </c>
      <c r="O23" s="30"/>
      <c r="P23" s="49">
        <v>19</v>
      </c>
      <c r="Q23" s="50">
        <f t="shared" si="75"/>
        <v>1605.31</v>
      </c>
      <c r="R23" s="50">
        <f t="shared" si="8"/>
        <v>161.7349825</v>
      </c>
      <c r="S23" s="50">
        <f t="shared" si="9"/>
        <v>4528.5795099999996</v>
      </c>
      <c r="T23" s="50">
        <f t="shared" si="10"/>
        <v>4852.0494749999998</v>
      </c>
      <c r="U23" s="50">
        <f t="shared" si="11"/>
        <v>5013.7844574999999</v>
      </c>
      <c r="V23" s="30"/>
      <c r="W23" s="49">
        <v>19</v>
      </c>
      <c r="X23" s="50">
        <f t="shared" si="76"/>
        <v>1650.7199999999998</v>
      </c>
      <c r="Y23" s="50">
        <f t="shared" si="12"/>
        <v>166.31003999999999</v>
      </c>
      <c r="Z23" s="50">
        <f t="shared" si="77"/>
        <v>4656.6811199999993</v>
      </c>
      <c r="AA23" s="50">
        <f t="shared" si="13"/>
        <v>4989.3011999999999</v>
      </c>
      <c r="AB23" s="50">
        <f t="shared" si="14"/>
        <v>5155.6112399999993</v>
      </c>
      <c r="AC23" s="30"/>
      <c r="AD23" s="49">
        <v>19</v>
      </c>
      <c r="AE23" s="50">
        <f t="shared" si="78"/>
        <v>1702.7800000000002</v>
      </c>
      <c r="AF23" s="50">
        <f t="shared" si="15"/>
        <v>171.55508500000002</v>
      </c>
      <c r="AG23" s="50">
        <f t="shared" si="16"/>
        <v>4803.5423800000008</v>
      </c>
      <c r="AH23" s="50">
        <f t="shared" si="17"/>
        <v>5146.6525500000007</v>
      </c>
      <c r="AI23" s="50">
        <f t="shared" si="18"/>
        <v>5318.2076350000007</v>
      </c>
      <c r="AJ23" s="30"/>
      <c r="AK23" s="49">
        <v>19</v>
      </c>
      <c r="AL23" s="50">
        <f t="shared" si="79"/>
        <v>1828.18</v>
      </c>
      <c r="AM23" s="50">
        <f t="shared" si="19"/>
        <v>184.18913500000002</v>
      </c>
      <c r="AN23" s="50">
        <f t="shared" si="20"/>
        <v>5157.2957800000004</v>
      </c>
      <c r="AO23" s="50">
        <f t="shared" si="21"/>
        <v>5525.6740500000005</v>
      </c>
      <c r="AP23" s="50">
        <f t="shared" si="22"/>
        <v>5709.8631850000011</v>
      </c>
      <c r="AQ23" s="30"/>
      <c r="AR23" s="49">
        <v>19</v>
      </c>
      <c r="AS23" s="50">
        <f t="shared" si="80"/>
        <v>1971.06</v>
      </c>
      <c r="AT23" s="50">
        <f t="shared" si="23"/>
        <v>220.0885596</v>
      </c>
      <c r="AU23" s="50">
        <f t="shared" si="24"/>
        <v>6162.4796687999997</v>
      </c>
      <c r="AV23" s="50">
        <f t="shared" si="25"/>
        <v>6602.6567880000002</v>
      </c>
      <c r="AW23" s="50">
        <f t="shared" si="26"/>
        <v>6822.7453476000001</v>
      </c>
      <c r="AX23" s="30"/>
      <c r="AY23" s="49">
        <v>19</v>
      </c>
      <c r="AZ23" s="50">
        <f t="shared" si="81"/>
        <v>0</v>
      </c>
      <c r="BA23" s="50">
        <f t="shared" si="27"/>
        <v>0</v>
      </c>
      <c r="BB23" s="50">
        <f t="shared" si="82"/>
        <v>0</v>
      </c>
      <c r="BC23" s="50">
        <f t="shared" si="28"/>
        <v>0</v>
      </c>
      <c r="BD23" s="50">
        <f t="shared" si="29"/>
        <v>0</v>
      </c>
      <c r="BE23" s="30"/>
      <c r="BF23" s="49">
        <v>19</v>
      </c>
      <c r="BG23" s="50">
        <f t="shared" si="83"/>
        <v>0</v>
      </c>
      <c r="BH23" s="50">
        <f t="shared" si="30"/>
        <v>0</v>
      </c>
      <c r="BI23" s="50">
        <f t="shared" si="31"/>
        <v>0</v>
      </c>
      <c r="BJ23" s="50">
        <f t="shared" si="32"/>
        <v>0</v>
      </c>
      <c r="BK23" s="50">
        <f t="shared" si="33"/>
        <v>0</v>
      </c>
      <c r="BL23" s="30"/>
      <c r="BM23" s="49">
        <v>19</v>
      </c>
      <c r="BN23" s="50">
        <f t="shared" si="84"/>
        <v>0</v>
      </c>
      <c r="BO23" s="50">
        <f t="shared" si="34"/>
        <v>0</v>
      </c>
      <c r="BP23" s="50">
        <f t="shared" si="35"/>
        <v>0</v>
      </c>
      <c r="BQ23" s="50">
        <f t="shared" si="36"/>
        <v>0</v>
      </c>
      <c r="BR23" s="50">
        <f t="shared" si="37"/>
        <v>0</v>
      </c>
      <c r="BS23" s="30"/>
      <c r="BT23" s="49">
        <v>19</v>
      </c>
      <c r="BU23" s="50">
        <f t="shared" si="85"/>
        <v>0</v>
      </c>
      <c r="BV23" s="50">
        <f t="shared" si="38"/>
        <v>0</v>
      </c>
      <c r="BW23" s="50">
        <f t="shared" si="39"/>
        <v>0</v>
      </c>
      <c r="BX23" s="50">
        <f t="shared" si="40"/>
        <v>0</v>
      </c>
      <c r="BY23" s="50">
        <f t="shared" si="41"/>
        <v>0</v>
      </c>
      <c r="BZ23" s="30"/>
      <c r="CA23" s="49">
        <v>19</v>
      </c>
      <c r="CB23" s="50">
        <f t="shared" si="86"/>
        <v>0</v>
      </c>
      <c r="CC23" s="50">
        <f t="shared" si="42"/>
        <v>0</v>
      </c>
      <c r="CD23" s="50">
        <f t="shared" si="87"/>
        <v>0</v>
      </c>
      <c r="CE23" s="50">
        <f t="shared" si="43"/>
        <v>0</v>
      </c>
      <c r="CF23" s="50">
        <f t="shared" si="44"/>
        <v>0</v>
      </c>
      <c r="CG23" s="30"/>
      <c r="CH23" s="49">
        <v>19</v>
      </c>
      <c r="CI23" s="50">
        <f t="shared" si="88"/>
        <v>0</v>
      </c>
      <c r="CJ23" s="50">
        <f t="shared" si="45"/>
        <v>0</v>
      </c>
      <c r="CK23" s="50">
        <f t="shared" si="46"/>
        <v>0</v>
      </c>
      <c r="CL23" s="50">
        <f t="shared" si="47"/>
        <v>0</v>
      </c>
      <c r="CM23" s="50">
        <f t="shared" si="48"/>
        <v>0</v>
      </c>
      <c r="CN23" s="30"/>
      <c r="CO23" s="49">
        <v>19</v>
      </c>
      <c r="CP23" s="50">
        <f t="shared" si="89"/>
        <v>0</v>
      </c>
      <c r="CQ23" s="50">
        <f t="shared" si="49"/>
        <v>0</v>
      </c>
      <c r="CR23" s="50">
        <f t="shared" si="50"/>
        <v>0</v>
      </c>
      <c r="CS23" s="50">
        <f t="shared" si="51"/>
        <v>0</v>
      </c>
      <c r="CT23" s="50">
        <f t="shared" si="52"/>
        <v>0</v>
      </c>
      <c r="CU23" s="30"/>
      <c r="CV23" s="49">
        <v>19</v>
      </c>
      <c r="CW23" s="50">
        <f t="shared" si="90"/>
        <v>0</v>
      </c>
      <c r="CX23" s="50">
        <f t="shared" si="53"/>
        <v>0</v>
      </c>
      <c r="CY23" s="50">
        <f t="shared" si="54"/>
        <v>0</v>
      </c>
      <c r="CZ23" s="50">
        <f t="shared" si="55"/>
        <v>0</v>
      </c>
      <c r="DA23" s="50">
        <f t="shared" si="56"/>
        <v>0</v>
      </c>
      <c r="DB23" s="30"/>
      <c r="DC23" s="49">
        <v>19</v>
      </c>
      <c r="DD23" s="50">
        <f t="shared" si="91"/>
        <v>0</v>
      </c>
      <c r="DE23" s="50">
        <f t="shared" si="57"/>
        <v>0</v>
      </c>
      <c r="DF23" s="50">
        <f t="shared" si="58"/>
        <v>0</v>
      </c>
      <c r="DG23" s="50">
        <f t="shared" si="59"/>
        <v>0</v>
      </c>
      <c r="DH23" s="50">
        <f t="shared" si="60"/>
        <v>0</v>
      </c>
      <c r="DI23" s="30"/>
      <c r="DJ23" s="49">
        <v>19</v>
      </c>
      <c r="DK23" s="50">
        <f t="shared" si="92"/>
        <v>0</v>
      </c>
      <c r="DL23" s="50">
        <f t="shared" si="61"/>
        <v>0</v>
      </c>
      <c r="DM23" s="50">
        <f t="shared" si="62"/>
        <v>0</v>
      </c>
      <c r="DN23" s="50">
        <f t="shared" si="63"/>
        <v>0</v>
      </c>
      <c r="DO23" s="50">
        <f t="shared" si="64"/>
        <v>0</v>
      </c>
      <c r="DP23" s="30"/>
      <c r="DQ23" s="49">
        <v>19</v>
      </c>
      <c r="DR23" s="50">
        <f t="shared" si="93"/>
        <v>0</v>
      </c>
      <c r="DS23" s="50">
        <f t="shared" si="65"/>
        <v>0</v>
      </c>
      <c r="DT23" s="50">
        <f t="shared" si="66"/>
        <v>0</v>
      </c>
      <c r="DU23" s="50">
        <f t="shared" si="67"/>
        <v>0</v>
      </c>
      <c r="DV23" s="50">
        <f t="shared" si="68"/>
        <v>0</v>
      </c>
      <c r="DW23" s="30"/>
      <c r="DX23" s="49">
        <v>19</v>
      </c>
      <c r="DY23" s="50">
        <f t="shared" si="94"/>
        <v>0</v>
      </c>
      <c r="DZ23" s="50">
        <f t="shared" si="69"/>
        <v>0</v>
      </c>
      <c r="EA23" s="50">
        <f t="shared" si="70"/>
        <v>0</v>
      </c>
      <c r="EB23" s="50">
        <f t="shared" si="71"/>
        <v>0</v>
      </c>
      <c r="EC23" s="50">
        <f t="shared" si="72"/>
        <v>0</v>
      </c>
    </row>
    <row r="24" spans="2:133" x14ac:dyDescent="0.75">
      <c r="B24" s="49">
        <v>20</v>
      </c>
      <c r="C24" s="50">
        <f t="shared" si="73"/>
        <v>1509.8</v>
      </c>
      <c r="D24" s="50">
        <f t="shared" si="0"/>
        <v>152.11234999999999</v>
      </c>
      <c r="E24" s="50">
        <f t="shared" si="1"/>
        <v>4259.1458000000002</v>
      </c>
      <c r="F24" s="50">
        <f t="shared" si="2"/>
        <v>4563.3705</v>
      </c>
      <c r="G24" s="50">
        <f t="shared" si="3"/>
        <v>4715.4828499999994</v>
      </c>
      <c r="H24" s="30"/>
      <c r="I24" s="49">
        <v>20</v>
      </c>
      <c r="J24" s="50">
        <f t="shared" si="74"/>
        <v>1612</v>
      </c>
      <c r="K24" s="50">
        <f t="shared" si="4"/>
        <v>162.40900000000002</v>
      </c>
      <c r="L24" s="50">
        <f t="shared" si="5"/>
        <v>4547.4520000000002</v>
      </c>
      <c r="M24" s="50">
        <f t="shared" si="6"/>
        <v>4872.2700000000004</v>
      </c>
      <c r="N24" s="50">
        <f t="shared" si="7"/>
        <v>5034.679000000001</v>
      </c>
      <c r="O24" s="30"/>
      <c r="P24" s="49">
        <v>20</v>
      </c>
      <c r="Q24" s="50">
        <f t="shared" si="75"/>
        <v>1689.8</v>
      </c>
      <c r="R24" s="50">
        <f t="shared" si="8"/>
        <v>170.24735000000001</v>
      </c>
      <c r="S24" s="50">
        <f t="shared" si="9"/>
        <v>4766.9258</v>
      </c>
      <c r="T24" s="50">
        <f t="shared" si="10"/>
        <v>5107.4205000000002</v>
      </c>
      <c r="U24" s="50">
        <f t="shared" si="11"/>
        <v>5277.6678500000007</v>
      </c>
      <c r="V24" s="30"/>
      <c r="W24" s="49">
        <v>20</v>
      </c>
      <c r="X24" s="50">
        <f t="shared" si="76"/>
        <v>1737.6</v>
      </c>
      <c r="Y24" s="50">
        <f t="shared" si="12"/>
        <v>175.06319999999999</v>
      </c>
      <c r="Z24" s="50">
        <f t="shared" si="77"/>
        <v>4901.7695999999996</v>
      </c>
      <c r="AA24" s="50">
        <f t="shared" si="13"/>
        <v>5251.8959999999997</v>
      </c>
      <c r="AB24" s="50">
        <f t="shared" si="14"/>
        <v>5426.9592000000002</v>
      </c>
      <c r="AC24" s="30"/>
      <c r="AD24" s="49">
        <v>20</v>
      </c>
      <c r="AE24" s="50">
        <f t="shared" si="78"/>
        <v>1792.4</v>
      </c>
      <c r="AF24" s="50">
        <f t="shared" si="15"/>
        <v>180.58430000000001</v>
      </c>
      <c r="AG24" s="50">
        <f t="shared" si="16"/>
        <v>5056.3604000000005</v>
      </c>
      <c r="AH24" s="50">
        <f t="shared" si="17"/>
        <v>5417.5290000000005</v>
      </c>
      <c r="AI24" s="50">
        <f t="shared" si="18"/>
        <v>5598.1133</v>
      </c>
      <c r="AJ24" s="30"/>
      <c r="AK24" s="49">
        <v>20</v>
      </c>
      <c r="AL24" s="50">
        <f t="shared" si="79"/>
        <v>1924.4</v>
      </c>
      <c r="AM24" s="50">
        <f t="shared" si="19"/>
        <v>193.88330000000002</v>
      </c>
      <c r="AN24" s="50">
        <f t="shared" si="20"/>
        <v>5428.7324000000008</v>
      </c>
      <c r="AO24" s="50">
        <f t="shared" si="21"/>
        <v>5816.4990000000007</v>
      </c>
      <c r="AP24" s="50">
        <f t="shared" si="22"/>
        <v>6010.3823000000002</v>
      </c>
      <c r="AQ24" s="30"/>
      <c r="AR24" s="49">
        <v>20</v>
      </c>
      <c r="AS24" s="50">
        <f t="shared" si="80"/>
        <v>2074.7999999999997</v>
      </c>
      <c r="AT24" s="50">
        <f t="shared" si="23"/>
        <v>231.67216799999997</v>
      </c>
      <c r="AU24" s="50">
        <f t="shared" si="24"/>
        <v>6486.8207039999988</v>
      </c>
      <c r="AV24" s="50">
        <f t="shared" si="25"/>
        <v>6950.165039999999</v>
      </c>
      <c r="AW24" s="50">
        <f t="shared" si="26"/>
        <v>7181.837207999999</v>
      </c>
      <c r="AX24" s="30"/>
      <c r="AY24" s="49">
        <v>20</v>
      </c>
      <c r="AZ24" s="50">
        <f t="shared" si="81"/>
        <v>0</v>
      </c>
      <c r="BA24" s="50">
        <f t="shared" si="27"/>
        <v>0</v>
      </c>
      <c r="BB24" s="50">
        <f t="shared" si="82"/>
        <v>0</v>
      </c>
      <c r="BC24" s="50">
        <f t="shared" si="28"/>
        <v>0</v>
      </c>
      <c r="BD24" s="50">
        <f t="shared" si="29"/>
        <v>0</v>
      </c>
      <c r="BE24" s="30"/>
      <c r="BF24" s="49">
        <v>20</v>
      </c>
      <c r="BG24" s="50">
        <f t="shared" si="83"/>
        <v>0</v>
      </c>
      <c r="BH24" s="50">
        <f t="shared" si="30"/>
        <v>0</v>
      </c>
      <c r="BI24" s="50">
        <f t="shared" si="31"/>
        <v>0</v>
      </c>
      <c r="BJ24" s="50">
        <f t="shared" si="32"/>
        <v>0</v>
      </c>
      <c r="BK24" s="50">
        <f t="shared" si="33"/>
        <v>0</v>
      </c>
      <c r="BL24" s="30"/>
      <c r="BM24" s="49">
        <v>20</v>
      </c>
      <c r="BN24" s="50">
        <f t="shared" si="84"/>
        <v>0</v>
      </c>
      <c r="BO24" s="50">
        <f t="shared" si="34"/>
        <v>0</v>
      </c>
      <c r="BP24" s="50">
        <f t="shared" si="35"/>
        <v>0</v>
      </c>
      <c r="BQ24" s="50">
        <f t="shared" si="36"/>
        <v>0</v>
      </c>
      <c r="BR24" s="50">
        <f t="shared" si="37"/>
        <v>0</v>
      </c>
      <c r="BS24" s="30"/>
      <c r="BT24" s="49">
        <v>20</v>
      </c>
      <c r="BU24" s="50">
        <f t="shared" si="85"/>
        <v>0</v>
      </c>
      <c r="BV24" s="50">
        <f t="shared" si="38"/>
        <v>0</v>
      </c>
      <c r="BW24" s="50">
        <f t="shared" si="39"/>
        <v>0</v>
      </c>
      <c r="BX24" s="50">
        <f t="shared" si="40"/>
        <v>0</v>
      </c>
      <c r="BY24" s="50">
        <f t="shared" si="41"/>
        <v>0</v>
      </c>
      <c r="BZ24" s="30"/>
      <c r="CA24" s="49">
        <v>20</v>
      </c>
      <c r="CB24" s="50">
        <f t="shared" si="86"/>
        <v>0</v>
      </c>
      <c r="CC24" s="50">
        <f t="shared" si="42"/>
        <v>0</v>
      </c>
      <c r="CD24" s="50">
        <f t="shared" si="87"/>
        <v>0</v>
      </c>
      <c r="CE24" s="50">
        <f t="shared" si="43"/>
        <v>0</v>
      </c>
      <c r="CF24" s="50">
        <f t="shared" si="44"/>
        <v>0</v>
      </c>
      <c r="CG24" s="30"/>
      <c r="CH24" s="49">
        <v>20</v>
      </c>
      <c r="CI24" s="50">
        <f t="shared" si="88"/>
        <v>0</v>
      </c>
      <c r="CJ24" s="50">
        <f t="shared" si="45"/>
        <v>0</v>
      </c>
      <c r="CK24" s="50">
        <f t="shared" si="46"/>
        <v>0</v>
      </c>
      <c r="CL24" s="50">
        <f t="shared" si="47"/>
        <v>0</v>
      </c>
      <c r="CM24" s="50">
        <f t="shared" si="48"/>
        <v>0</v>
      </c>
      <c r="CN24" s="30"/>
      <c r="CO24" s="49">
        <v>20</v>
      </c>
      <c r="CP24" s="50">
        <f t="shared" si="89"/>
        <v>0</v>
      </c>
      <c r="CQ24" s="50">
        <f t="shared" si="49"/>
        <v>0</v>
      </c>
      <c r="CR24" s="50">
        <f t="shared" si="50"/>
        <v>0</v>
      </c>
      <c r="CS24" s="50">
        <f t="shared" si="51"/>
        <v>0</v>
      </c>
      <c r="CT24" s="50">
        <f t="shared" si="52"/>
        <v>0</v>
      </c>
      <c r="CU24" s="30"/>
      <c r="CV24" s="49">
        <v>20</v>
      </c>
      <c r="CW24" s="50">
        <f t="shared" si="90"/>
        <v>0</v>
      </c>
      <c r="CX24" s="50">
        <f t="shared" si="53"/>
        <v>0</v>
      </c>
      <c r="CY24" s="50">
        <f t="shared" si="54"/>
        <v>0</v>
      </c>
      <c r="CZ24" s="50">
        <f t="shared" si="55"/>
        <v>0</v>
      </c>
      <c r="DA24" s="50">
        <f t="shared" si="56"/>
        <v>0</v>
      </c>
      <c r="DB24" s="30"/>
      <c r="DC24" s="49">
        <v>20</v>
      </c>
      <c r="DD24" s="50">
        <f t="shared" si="91"/>
        <v>0</v>
      </c>
      <c r="DE24" s="50">
        <f t="shared" si="57"/>
        <v>0</v>
      </c>
      <c r="DF24" s="50">
        <f t="shared" si="58"/>
        <v>0</v>
      </c>
      <c r="DG24" s="50">
        <f t="shared" si="59"/>
        <v>0</v>
      </c>
      <c r="DH24" s="50">
        <f t="shared" si="60"/>
        <v>0</v>
      </c>
      <c r="DI24" s="30"/>
      <c r="DJ24" s="49">
        <v>20</v>
      </c>
      <c r="DK24" s="50">
        <f t="shared" si="92"/>
        <v>0</v>
      </c>
      <c r="DL24" s="50">
        <f t="shared" si="61"/>
        <v>0</v>
      </c>
      <c r="DM24" s="50">
        <f t="shared" si="62"/>
        <v>0</v>
      </c>
      <c r="DN24" s="50">
        <f t="shared" si="63"/>
        <v>0</v>
      </c>
      <c r="DO24" s="50">
        <f t="shared" si="64"/>
        <v>0</v>
      </c>
      <c r="DP24" s="30"/>
      <c r="DQ24" s="49">
        <v>20</v>
      </c>
      <c r="DR24" s="50">
        <f t="shared" si="93"/>
        <v>0</v>
      </c>
      <c r="DS24" s="50">
        <f t="shared" si="65"/>
        <v>0</v>
      </c>
      <c r="DT24" s="50">
        <f t="shared" si="66"/>
        <v>0</v>
      </c>
      <c r="DU24" s="50">
        <f t="shared" si="67"/>
        <v>0</v>
      </c>
      <c r="DV24" s="50">
        <f t="shared" si="68"/>
        <v>0</v>
      </c>
      <c r="DW24" s="30"/>
      <c r="DX24" s="49">
        <v>20</v>
      </c>
      <c r="DY24" s="50">
        <f t="shared" si="94"/>
        <v>0</v>
      </c>
      <c r="DZ24" s="50">
        <f t="shared" si="69"/>
        <v>0</v>
      </c>
      <c r="EA24" s="50">
        <f t="shared" si="70"/>
        <v>0</v>
      </c>
      <c r="EB24" s="50">
        <f t="shared" si="71"/>
        <v>0</v>
      </c>
      <c r="EC24" s="50">
        <f t="shared" si="72"/>
        <v>0</v>
      </c>
    </row>
    <row r="25" spans="2:133" x14ac:dyDescent="0.75">
      <c r="B25" s="49">
        <v>21</v>
      </c>
      <c r="C25" s="50">
        <f t="shared" si="73"/>
        <v>1585.29</v>
      </c>
      <c r="D25" s="50">
        <f t="shared" si="0"/>
        <v>159.71796750000001</v>
      </c>
      <c r="E25" s="50">
        <f t="shared" si="1"/>
        <v>4472.1030900000005</v>
      </c>
      <c r="F25" s="50">
        <f t="shared" si="2"/>
        <v>4791.539025</v>
      </c>
      <c r="G25" s="50">
        <f t="shared" si="3"/>
        <v>4951.2569925000007</v>
      </c>
      <c r="H25" s="30"/>
      <c r="I25" s="49">
        <v>21</v>
      </c>
      <c r="J25" s="50">
        <f t="shared" si="74"/>
        <v>1692.6</v>
      </c>
      <c r="K25" s="50">
        <f t="shared" si="4"/>
        <v>170.52945</v>
      </c>
      <c r="L25" s="50">
        <f t="shared" si="5"/>
        <v>4774.8245999999999</v>
      </c>
      <c r="M25" s="50">
        <f t="shared" si="6"/>
        <v>5115.8834999999999</v>
      </c>
      <c r="N25" s="50">
        <f t="shared" si="7"/>
        <v>5286.4129499999999</v>
      </c>
      <c r="O25" s="30"/>
      <c r="P25" s="49">
        <v>21</v>
      </c>
      <c r="Q25" s="50">
        <f t="shared" si="75"/>
        <v>1774.29</v>
      </c>
      <c r="R25" s="50">
        <f t="shared" si="8"/>
        <v>178.75971749999999</v>
      </c>
      <c r="S25" s="50">
        <f t="shared" si="9"/>
        <v>5005.2720899999995</v>
      </c>
      <c r="T25" s="50">
        <f t="shared" si="10"/>
        <v>5362.7915249999996</v>
      </c>
      <c r="U25" s="50">
        <f t="shared" si="11"/>
        <v>5541.5512424999997</v>
      </c>
      <c r="V25" s="30"/>
      <c r="W25" s="49">
        <v>21</v>
      </c>
      <c r="X25" s="50">
        <f t="shared" si="76"/>
        <v>1824.48</v>
      </c>
      <c r="Y25" s="50">
        <f t="shared" si="12"/>
        <v>183.81636</v>
      </c>
      <c r="Z25" s="50">
        <f t="shared" si="77"/>
        <v>5146.85808</v>
      </c>
      <c r="AA25" s="50">
        <f t="shared" si="13"/>
        <v>5514.4908000000005</v>
      </c>
      <c r="AB25" s="50">
        <f t="shared" si="14"/>
        <v>5698.3071600000003</v>
      </c>
      <c r="AC25" s="30"/>
      <c r="AD25" s="49">
        <v>21</v>
      </c>
      <c r="AE25" s="50">
        <f t="shared" si="78"/>
        <v>1882.02</v>
      </c>
      <c r="AF25" s="50">
        <f t="shared" si="15"/>
        <v>189.61351500000001</v>
      </c>
      <c r="AG25" s="50">
        <f t="shared" si="16"/>
        <v>5309.1784200000002</v>
      </c>
      <c r="AH25" s="50">
        <f t="shared" si="17"/>
        <v>5688.4054500000002</v>
      </c>
      <c r="AI25" s="50">
        <f t="shared" si="18"/>
        <v>5878.0189650000002</v>
      </c>
      <c r="AJ25" s="30"/>
      <c r="AK25" s="49">
        <v>21</v>
      </c>
      <c r="AL25" s="50">
        <f t="shared" si="79"/>
        <v>2020.62</v>
      </c>
      <c r="AM25" s="50">
        <f t="shared" si="19"/>
        <v>203.57746499999999</v>
      </c>
      <c r="AN25" s="50">
        <f t="shared" si="20"/>
        <v>5700.1690199999994</v>
      </c>
      <c r="AO25" s="50">
        <f t="shared" si="21"/>
        <v>6107.32395</v>
      </c>
      <c r="AP25" s="50">
        <f t="shared" si="22"/>
        <v>6310.9014149999994</v>
      </c>
      <c r="AQ25" s="30"/>
      <c r="AR25" s="49">
        <v>21</v>
      </c>
      <c r="AS25" s="50">
        <f t="shared" si="80"/>
        <v>2178.54</v>
      </c>
      <c r="AT25" s="50">
        <f t="shared" si="23"/>
        <v>243.25577639999997</v>
      </c>
      <c r="AU25" s="50">
        <f t="shared" si="24"/>
        <v>6811.1617391999989</v>
      </c>
      <c r="AV25" s="50">
        <f t="shared" si="25"/>
        <v>7297.6732919999995</v>
      </c>
      <c r="AW25" s="50">
        <f t="shared" si="26"/>
        <v>7540.9290683999989</v>
      </c>
      <c r="AX25" s="30"/>
      <c r="AY25" s="49">
        <v>21</v>
      </c>
      <c r="AZ25" s="50">
        <f t="shared" si="81"/>
        <v>0</v>
      </c>
      <c r="BA25" s="50">
        <f t="shared" si="27"/>
        <v>0</v>
      </c>
      <c r="BB25" s="50">
        <f t="shared" si="82"/>
        <v>0</v>
      </c>
      <c r="BC25" s="50">
        <f t="shared" si="28"/>
        <v>0</v>
      </c>
      <c r="BD25" s="50">
        <f t="shared" si="29"/>
        <v>0</v>
      </c>
      <c r="BE25" s="30"/>
      <c r="BF25" s="49">
        <v>21</v>
      </c>
      <c r="BG25" s="50">
        <f t="shared" si="83"/>
        <v>0</v>
      </c>
      <c r="BH25" s="50">
        <f t="shared" si="30"/>
        <v>0</v>
      </c>
      <c r="BI25" s="50">
        <f t="shared" si="31"/>
        <v>0</v>
      </c>
      <c r="BJ25" s="50">
        <f t="shared" si="32"/>
        <v>0</v>
      </c>
      <c r="BK25" s="50">
        <f t="shared" si="33"/>
        <v>0</v>
      </c>
      <c r="BL25" s="30"/>
      <c r="BM25" s="49">
        <v>21</v>
      </c>
      <c r="BN25" s="50">
        <f t="shared" si="84"/>
        <v>0</v>
      </c>
      <c r="BO25" s="50">
        <f t="shared" si="34"/>
        <v>0</v>
      </c>
      <c r="BP25" s="50">
        <f t="shared" si="35"/>
        <v>0</v>
      </c>
      <c r="BQ25" s="50">
        <f t="shared" si="36"/>
        <v>0</v>
      </c>
      <c r="BR25" s="50">
        <f t="shared" si="37"/>
        <v>0</v>
      </c>
      <c r="BS25" s="30"/>
      <c r="BT25" s="49">
        <v>21</v>
      </c>
      <c r="BU25" s="50">
        <f t="shared" si="85"/>
        <v>0</v>
      </c>
      <c r="BV25" s="50">
        <f t="shared" si="38"/>
        <v>0</v>
      </c>
      <c r="BW25" s="50">
        <f t="shared" si="39"/>
        <v>0</v>
      </c>
      <c r="BX25" s="50">
        <f t="shared" si="40"/>
        <v>0</v>
      </c>
      <c r="BY25" s="50">
        <f t="shared" si="41"/>
        <v>0</v>
      </c>
      <c r="BZ25" s="30"/>
      <c r="CA25" s="49">
        <v>21</v>
      </c>
      <c r="CB25" s="50">
        <f t="shared" si="86"/>
        <v>0</v>
      </c>
      <c r="CC25" s="50">
        <f t="shared" si="42"/>
        <v>0</v>
      </c>
      <c r="CD25" s="50">
        <f t="shared" si="87"/>
        <v>0</v>
      </c>
      <c r="CE25" s="50">
        <f t="shared" si="43"/>
        <v>0</v>
      </c>
      <c r="CF25" s="50">
        <f t="shared" si="44"/>
        <v>0</v>
      </c>
      <c r="CG25" s="30"/>
      <c r="CH25" s="49">
        <v>21</v>
      </c>
      <c r="CI25" s="50">
        <f t="shared" si="88"/>
        <v>0</v>
      </c>
      <c r="CJ25" s="50">
        <f t="shared" si="45"/>
        <v>0</v>
      </c>
      <c r="CK25" s="50">
        <f t="shared" si="46"/>
        <v>0</v>
      </c>
      <c r="CL25" s="50">
        <f t="shared" si="47"/>
        <v>0</v>
      </c>
      <c r="CM25" s="50">
        <f t="shared" si="48"/>
        <v>0</v>
      </c>
      <c r="CN25" s="30"/>
      <c r="CO25" s="49">
        <v>21</v>
      </c>
      <c r="CP25" s="50">
        <f t="shared" si="89"/>
        <v>0</v>
      </c>
      <c r="CQ25" s="50">
        <f t="shared" si="49"/>
        <v>0</v>
      </c>
      <c r="CR25" s="50">
        <f t="shared" si="50"/>
        <v>0</v>
      </c>
      <c r="CS25" s="50">
        <f t="shared" si="51"/>
        <v>0</v>
      </c>
      <c r="CT25" s="50">
        <f t="shared" si="52"/>
        <v>0</v>
      </c>
      <c r="CU25" s="30"/>
      <c r="CV25" s="49">
        <v>21</v>
      </c>
      <c r="CW25" s="50">
        <f t="shared" si="90"/>
        <v>0</v>
      </c>
      <c r="CX25" s="50">
        <f t="shared" si="53"/>
        <v>0</v>
      </c>
      <c r="CY25" s="50">
        <f t="shared" si="54"/>
        <v>0</v>
      </c>
      <c r="CZ25" s="50">
        <f t="shared" si="55"/>
        <v>0</v>
      </c>
      <c r="DA25" s="50">
        <f t="shared" si="56"/>
        <v>0</v>
      </c>
      <c r="DB25" s="30"/>
      <c r="DC25" s="49">
        <v>21</v>
      </c>
      <c r="DD25" s="50">
        <f t="shared" si="91"/>
        <v>0</v>
      </c>
      <c r="DE25" s="50">
        <f t="shared" si="57"/>
        <v>0</v>
      </c>
      <c r="DF25" s="50">
        <f t="shared" si="58"/>
        <v>0</v>
      </c>
      <c r="DG25" s="50">
        <f t="shared" si="59"/>
        <v>0</v>
      </c>
      <c r="DH25" s="50">
        <f t="shared" si="60"/>
        <v>0</v>
      </c>
      <c r="DI25" s="30"/>
      <c r="DJ25" s="49">
        <v>21</v>
      </c>
      <c r="DK25" s="50">
        <f t="shared" si="92"/>
        <v>0</v>
      </c>
      <c r="DL25" s="50">
        <f t="shared" si="61"/>
        <v>0</v>
      </c>
      <c r="DM25" s="50">
        <f t="shared" si="62"/>
        <v>0</v>
      </c>
      <c r="DN25" s="50">
        <f t="shared" si="63"/>
        <v>0</v>
      </c>
      <c r="DO25" s="50">
        <f t="shared" si="64"/>
        <v>0</v>
      </c>
      <c r="DP25" s="30"/>
      <c r="DQ25" s="49">
        <v>21</v>
      </c>
      <c r="DR25" s="50">
        <f t="shared" si="93"/>
        <v>0</v>
      </c>
      <c r="DS25" s="50">
        <f t="shared" si="65"/>
        <v>0</v>
      </c>
      <c r="DT25" s="50">
        <f t="shared" si="66"/>
        <v>0</v>
      </c>
      <c r="DU25" s="50">
        <f t="shared" si="67"/>
        <v>0</v>
      </c>
      <c r="DV25" s="50">
        <f t="shared" si="68"/>
        <v>0</v>
      </c>
      <c r="DW25" s="30"/>
      <c r="DX25" s="49">
        <v>21</v>
      </c>
      <c r="DY25" s="50">
        <f t="shared" si="94"/>
        <v>0</v>
      </c>
      <c r="DZ25" s="50">
        <f t="shared" si="69"/>
        <v>0</v>
      </c>
      <c r="EA25" s="50">
        <f t="shared" si="70"/>
        <v>0</v>
      </c>
      <c r="EB25" s="50">
        <f t="shared" si="71"/>
        <v>0</v>
      </c>
      <c r="EC25" s="50">
        <f t="shared" si="72"/>
        <v>0</v>
      </c>
    </row>
    <row r="26" spans="2:133" x14ac:dyDescent="0.75">
      <c r="B26" s="49">
        <v>22</v>
      </c>
      <c r="C26" s="50">
        <f t="shared" si="73"/>
        <v>1660.78</v>
      </c>
      <c r="D26" s="50">
        <f t="shared" si="0"/>
        <v>167.32358500000001</v>
      </c>
      <c r="E26" s="50">
        <f t="shared" si="1"/>
        <v>4685.0603799999999</v>
      </c>
      <c r="F26" s="50">
        <f t="shared" si="2"/>
        <v>5019.7075500000001</v>
      </c>
      <c r="G26" s="50">
        <f t="shared" si="3"/>
        <v>5187.0311350000002</v>
      </c>
      <c r="H26" s="30"/>
      <c r="I26" s="49">
        <v>22</v>
      </c>
      <c r="J26" s="50">
        <f t="shared" si="74"/>
        <v>1773.1999999999998</v>
      </c>
      <c r="K26" s="50">
        <f t="shared" si="4"/>
        <v>178.6499</v>
      </c>
      <c r="L26" s="50">
        <f t="shared" si="5"/>
        <v>5002.1972000000005</v>
      </c>
      <c r="M26" s="50">
        <f t="shared" si="6"/>
        <v>5359.4970000000003</v>
      </c>
      <c r="N26" s="50">
        <f t="shared" si="7"/>
        <v>5538.1468999999997</v>
      </c>
      <c r="O26" s="30"/>
      <c r="P26" s="49">
        <v>22</v>
      </c>
      <c r="Q26" s="50">
        <f t="shared" si="75"/>
        <v>1858.78</v>
      </c>
      <c r="R26" s="50">
        <f t="shared" si="8"/>
        <v>187.272085</v>
      </c>
      <c r="S26" s="50">
        <f t="shared" si="9"/>
        <v>5243.6183799999999</v>
      </c>
      <c r="T26" s="50">
        <f t="shared" si="10"/>
        <v>5618.16255</v>
      </c>
      <c r="U26" s="50">
        <f t="shared" si="11"/>
        <v>5805.4346350000005</v>
      </c>
      <c r="V26" s="30"/>
      <c r="W26" s="49">
        <v>22</v>
      </c>
      <c r="X26" s="50">
        <f t="shared" si="76"/>
        <v>1911.36</v>
      </c>
      <c r="Y26" s="50">
        <f t="shared" si="12"/>
        <v>192.56952000000001</v>
      </c>
      <c r="Z26" s="50">
        <f t="shared" si="77"/>
        <v>5391.9465600000003</v>
      </c>
      <c r="AA26" s="50">
        <f t="shared" si="13"/>
        <v>5777.0856000000003</v>
      </c>
      <c r="AB26" s="50">
        <f t="shared" si="14"/>
        <v>5969.6551200000004</v>
      </c>
      <c r="AC26" s="30"/>
      <c r="AD26" s="49">
        <v>22</v>
      </c>
      <c r="AE26" s="50">
        <f t="shared" si="78"/>
        <v>1971.64</v>
      </c>
      <c r="AF26" s="50">
        <f t="shared" si="15"/>
        <v>198.64273000000003</v>
      </c>
      <c r="AG26" s="50">
        <f t="shared" si="16"/>
        <v>5561.9964400000008</v>
      </c>
      <c r="AH26" s="50">
        <f t="shared" si="17"/>
        <v>5959.2819000000009</v>
      </c>
      <c r="AI26" s="50">
        <f t="shared" si="18"/>
        <v>6157.9246300000013</v>
      </c>
      <c r="AJ26" s="30"/>
      <c r="AK26" s="49">
        <v>22</v>
      </c>
      <c r="AL26" s="50">
        <f t="shared" si="79"/>
        <v>2116.84</v>
      </c>
      <c r="AM26" s="50">
        <f t="shared" si="19"/>
        <v>213.27163000000002</v>
      </c>
      <c r="AN26" s="50">
        <f t="shared" si="20"/>
        <v>5971.6056400000007</v>
      </c>
      <c r="AO26" s="50">
        <f t="shared" si="21"/>
        <v>6398.1489000000001</v>
      </c>
      <c r="AP26" s="50">
        <f t="shared" si="22"/>
        <v>6611.4205300000003</v>
      </c>
      <c r="AQ26" s="30"/>
      <c r="AR26" s="49">
        <v>22</v>
      </c>
      <c r="AS26" s="50">
        <f t="shared" si="80"/>
        <v>2282.2799999999997</v>
      </c>
      <c r="AT26" s="50">
        <f t="shared" si="23"/>
        <v>254.83938479999995</v>
      </c>
      <c r="AU26" s="50">
        <f t="shared" si="24"/>
        <v>7135.5027743999981</v>
      </c>
      <c r="AV26" s="50">
        <f t="shared" si="25"/>
        <v>7645.1815439999982</v>
      </c>
      <c r="AW26" s="50">
        <f t="shared" si="26"/>
        <v>7900.0209287999987</v>
      </c>
      <c r="AX26" s="30"/>
      <c r="AY26" s="49">
        <v>22</v>
      </c>
      <c r="AZ26" s="50">
        <f t="shared" si="81"/>
        <v>0</v>
      </c>
      <c r="BA26" s="50">
        <f t="shared" si="27"/>
        <v>0</v>
      </c>
      <c r="BB26" s="50">
        <f t="shared" si="82"/>
        <v>0</v>
      </c>
      <c r="BC26" s="50">
        <f t="shared" si="28"/>
        <v>0</v>
      </c>
      <c r="BD26" s="50">
        <f t="shared" si="29"/>
        <v>0</v>
      </c>
      <c r="BE26" s="30"/>
      <c r="BF26" s="49">
        <v>22</v>
      </c>
      <c r="BG26" s="50">
        <f t="shared" si="83"/>
        <v>0</v>
      </c>
      <c r="BH26" s="50">
        <f t="shared" si="30"/>
        <v>0</v>
      </c>
      <c r="BI26" s="50">
        <f t="shared" si="31"/>
        <v>0</v>
      </c>
      <c r="BJ26" s="50">
        <f t="shared" si="32"/>
        <v>0</v>
      </c>
      <c r="BK26" s="50">
        <f t="shared" si="33"/>
        <v>0</v>
      </c>
      <c r="BL26" s="30"/>
      <c r="BM26" s="49">
        <v>22</v>
      </c>
      <c r="BN26" s="50">
        <f t="shared" si="84"/>
        <v>0</v>
      </c>
      <c r="BO26" s="50">
        <f t="shared" si="34"/>
        <v>0</v>
      </c>
      <c r="BP26" s="50">
        <f t="shared" si="35"/>
        <v>0</v>
      </c>
      <c r="BQ26" s="50">
        <f t="shared" si="36"/>
        <v>0</v>
      </c>
      <c r="BR26" s="50">
        <f t="shared" si="37"/>
        <v>0</v>
      </c>
      <c r="BS26" s="30"/>
      <c r="BT26" s="49">
        <v>22</v>
      </c>
      <c r="BU26" s="50">
        <f t="shared" si="85"/>
        <v>0</v>
      </c>
      <c r="BV26" s="50">
        <f t="shared" si="38"/>
        <v>0</v>
      </c>
      <c r="BW26" s="50">
        <f t="shared" si="39"/>
        <v>0</v>
      </c>
      <c r="BX26" s="50">
        <f t="shared" si="40"/>
        <v>0</v>
      </c>
      <c r="BY26" s="50">
        <f t="shared" si="41"/>
        <v>0</v>
      </c>
      <c r="BZ26" s="30"/>
      <c r="CA26" s="49">
        <v>22</v>
      </c>
      <c r="CB26" s="50">
        <f t="shared" si="86"/>
        <v>0</v>
      </c>
      <c r="CC26" s="50">
        <f t="shared" si="42"/>
        <v>0</v>
      </c>
      <c r="CD26" s="50">
        <f t="shared" si="87"/>
        <v>0</v>
      </c>
      <c r="CE26" s="50">
        <f t="shared" si="43"/>
        <v>0</v>
      </c>
      <c r="CF26" s="50">
        <f t="shared" si="44"/>
        <v>0</v>
      </c>
      <c r="CG26" s="30"/>
      <c r="CH26" s="49">
        <v>22</v>
      </c>
      <c r="CI26" s="50">
        <f t="shared" si="88"/>
        <v>0</v>
      </c>
      <c r="CJ26" s="50">
        <f t="shared" si="45"/>
        <v>0</v>
      </c>
      <c r="CK26" s="50">
        <f t="shared" si="46"/>
        <v>0</v>
      </c>
      <c r="CL26" s="50">
        <f t="shared" si="47"/>
        <v>0</v>
      </c>
      <c r="CM26" s="50">
        <f t="shared" si="48"/>
        <v>0</v>
      </c>
      <c r="CN26" s="30"/>
      <c r="CO26" s="49">
        <v>22</v>
      </c>
      <c r="CP26" s="50">
        <f t="shared" si="89"/>
        <v>0</v>
      </c>
      <c r="CQ26" s="50">
        <f t="shared" si="49"/>
        <v>0</v>
      </c>
      <c r="CR26" s="50">
        <f t="shared" si="50"/>
        <v>0</v>
      </c>
      <c r="CS26" s="50">
        <f t="shared" si="51"/>
        <v>0</v>
      </c>
      <c r="CT26" s="50">
        <f t="shared" si="52"/>
        <v>0</v>
      </c>
      <c r="CU26" s="30"/>
      <c r="CV26" s="49">
        <v>22</v>
      </c>
      <c r="CW26" s="50">
        <f t="shared" si="90"/>
        <v>0</v>
      </c>
      <c r="CX26" s="50">
        <f t="shared" si="53"/>
        <v>0</v>
      </c>
      <c r="CY26" s="50">
        <f t="shared" si="54"/>
        <v>0</v>
      </c>
      <c r="CZ26" s="50">
        <f t="shared" si="55"/>
        <v>0</v>
      </c>
      <c r="DA26" s="50">
        <f t="shared" si="56"/>
        <v>0</v>
      </c>
      <c r="DB26" s="30"/>
      <c r="DC26" s="49">
        <v>22</v>
      </c>
      <c r="DD26" s="50">
        <f t="shared" si="91"/>
        <v>0</v>
      </c>
      <c r="DE26" s="50">
        <f t="shared" si="57"/>
        <v>0</v>
      </c>
      <c r="DF26" s="50">
        <f t="shared" si="58"/>
        <v>0</v>
      </c>
      <c r="DG26" s="50">
        <f t="shared" si="59"/>
        <v>0</v>
      </c>
      <c r="DH26" s="50">
        <f t="shared" si="60"/>
        <v>0</v>
      </c>
      <c r="DI26" s="30"/>
      <c r="DJ26" s="49">
        <v>22</v>
      </c>
      <c r="DK26" s="50">
        <f t="shared" si="92"/>
        <v>0</v>
      </c>
      <c r="DL26" s="50">
        <f t="shared" si="61"/>
        <v>0</v>
      </c>
      <c r="DM26" s="50">
        <f t="shared" si="62"/>
        <v>0</v>
      </c>
      <c r="DN26" s="50">
        <f t="shared" si="63"/>
        <v>0</v>
      </c>
      <c r="DO26" s="50">
        <f t="shared" si="64"/>
        <v>0</v>
      </c>
      <c r="DP26" s="30"/>
      <c r="DQ26" s="49">
        <v>22</v>
      </c>
      <c r="DR26" s="50">
        <f t="shared" si="93"/>
        <v>0</v>
      </c>
      <c r="DS26" s="50">
        <f t="shared" si="65"/>
        <v>0</v>
      </c>
      <c r="DT26" s="50">
        <f t="shared" si="66"/>
        <v>0</v>
      </c>
      <c r="DU26" s="50">
        <f t="shared" si="67"/>
        <v>0</v>
      </c>
      <c r="DV26" s="50">
        <f t="shared" si="68"/>
        <v>0</v>
      </c>
      <c r="DW26" s="30"/>
      <c r="DX26" s="49">
        <v>22</v>
      </c>
      <c r="DY26" s="50">
        <f t="shared" si="94"/>
        <v>0</v>
      </c>
      <c r="DZ26" s="50">
        <f t="shared" si="69"/>
        <v>0</v>
      </c>
      <c r="EA26" s="50">
        <f t="shared" si="70"/>
        <v>0</v>
      </c>
      <c r="EB26" s="50">
        <f t="shared" si="71"/>
        <v>0</v>
      </c>
      <c r="EC26" s="50">
        <f t="shared" si="72"/>
        <v>0</v>
      </c>
    </row>
    <row r="27" spans="2:133" x14ac:dyDescent="0.75">
      <c r="B27" s="49">
        <v>23</v>
      </c>
      <c r="C27" s="50">
        <f t="shared" si="73"/>
        <v>1736.27</v>
      </c>
      <c r="D27" s="50">
        <f t="shared" si="0"/>
        <v>174.9292025</v>
      </c>
      <c r="E27" s="50">
        <f t="shared" si="1"/>
        <v>4898.0176700000002</v>
      </c>
      <c r="F27" s="50">
        <f t="shared" si="2"/>
        <v>5247.8760750000001</v>
      </c>
      <c r="G27" s="50">
        <f t="shared" si="3"/>
        <v>5422.8052774999996</v>
      </c>
      <c r="H27" s="30"/>
      <c r="I27" s="49">
        <v>23</v>
      </c>
      <c r="J27" s="50">
        <f t="shared" si="74"/>
        <v>1853.8</v>
      </c>
      <c r="K27" s="50">
        <f t="shared" si="4"/>
        <v>186.77035000000001</v>
      </c>
      <c r="L27" s="50">
        <f t="shared" si="5"/>
        <v>5229.5698000000002</v>
      </c>
      <c r="M27" s="50">
        <f t="shared" si="6"/>
        <v>5603.1105000000007</v>
      </c>
      <c r="N27" s="50">
        <f t="shared" si="7"/>
        <v>5789.8808500000005</v>
      </c>
      <c r="O27" s="30"/>
      <c r="P27" s="49">
        <v>23</v>
      </c>
      <c r="Q27" s="50">
        <f t="shared" si="75"/>
        <v>1943.27</v>
      </c>
      <c r="R27" s="50">
        <f t="shared" si="8"/>
        <v>195.78445250000001</v>
      </c>
      <c r="S27" s="50">
        <f t="shared" si="9"/>
        <v>5481.9646700000003</v>
      </c>
      <c r="T27" s="50">
        <f t="shared" si="10"/>
        <v>5873.5335750000004</v>
      </c>
      <c r="U27" s="50">
        <f t="shared" si="11"/>
        <v>6069.3180275000004</v>
      </c>
      <c r="V27" s="30"/>
      <c r="W27" s="49">
        <v>23</v>
      </c>
      <c r="X27" s="50">
        <f t="shared" si="76"/>
        <v>1998.2399999999998</v>
      </c>
      <c r="Y27" s="50">
        <f t="shared" si="12"/>
        <v>201.32267999999999</v>
      </c>
      <c r="Z27" s="50">
        <f t="shared" si="77"/>
        <v>5637.0350399999998</v>
      </c>
      <c r="AA27" s="50">
        <f t="shared" si="13"/>
        <v>6039.6803999999993</v>
      </c>
      <c r="AB27" s="50">
        <f t="shared" si="14"/>
        <v>6241.0030799999995</v>
      </c>
      <c r="AC27" s="30"/>
      <c r="AD27" s="49">
        <v>23</v>
      </c>
      <c r="AE27" s="50">
        <f t="shared" si="78"/>
        <v>2061.2600000000002</v>
      </c>
      <c r="AF27" s="50">
        <f t="shared" si="15"/>
        <v>207.67194500000002</v>
      </c>
      <c r="AG27" s="50">
        <f t="shared" si="16"/>
        <v>5814.8144600000005</v>
      </c>
      <c r="AH27" s="50">
        <f t="shared" si="17"/>
        <v>6230.1583500000006</v>
      </c>
      <c r="AI27" s="50">
        <f t="shared" si="18"/>
        <v>6437.8302950000007</v>
      </c>
      <c r="AJ27" s="30"/>
      <c r="AK27" s="49">
        <v>23</v>
      </c>
      <c r="AL27" s="50">
        <f t="shared" si="79"/>
        <v>2213.06</v>
      </c>
      <c r="AM27" s="50">
        <f t="shared" si="19"/>
        <v>222.96579500000001</v>
      </c>
      <c r="AN27" s="50">
        <f t="shared" si="20"/>
        <v>6243.0422600000002</v>
      </c>
      <c r="AO27" s="50">
        <f t="shared" si="21"/>
        <v>6688.9738500000003</v>
      </c>
      <c r="AP27" s="50">
        <f t="shared" si="22"/>
        <v>6911.9396450000004</v>
      </c>
      <c r="AQ27" s="30"/>
      <c r="AR27" s="49">
        <v>23</v>
      </c>
      <c r="AS27" s="50">
        <f t="shared" si="80"/>
        <v>2386.02</v>
      </c>
      <c r="AT27" s="50">
        <f t="shared" si="23"/>
        <v>266.42299320000001</v>
      </c>
      <c r="AU27" s="50">
        <f t="shared" si="24"/>
        <v>7459.8438096</v>
      </c>
      <c r="AV27" s="50">
        <f t="shared" si="25"/>
        <v>7992.6897960000006</v>
      </c>
      <c r="AW27" s="50">
        <f t="shared" si="26"/>
        <v>8259.1127892000004</v>
      </c>
      <c r="AX27" s="30"/>
      <c r="AY27" s="49">
        <v>23</v>
      </c>
      <c r="AZ27" s="50">
        <f t="shared" si="81"/>
        <v>0</v>
      </c>
      <c r="BA27" s="50">
        <f t="shared" si="27"/>
        <v>0</v>
      </c>
      <c r="BB27" s="50">
        <f t="shared" si="82"/>
        <v>0</v>
      </c>
      <c r="BC27" s="50">
        <f t="shared" si="28"/>
        <v>0</v>
      </c>
      <c r="BD27" s="50">
        <f t="shared" si="29"/>
        <v>0</v>
      </c>
      <c r="BE27" s="30"/>
      <c r="BF27" s="49">
        <v>23</v>
      </c>
      <c r="BG27" s="50">
        <f t="shared" si="83"/>
        <v>0</v>
      </c>
      <c r="BH27" s="50">
        <f t="shared" si="30"/>
        <v>0</v>
      </c>
      <c r="BI27" s="50">
        <f t="shared" si="31"/>
        <v>0</v>
      </c>
      <c r="BJ27" s="50">
        <f t="shared" si="32"/>
        <v>0</v>
      </c>
      <c r="BK27" s="50">
        <f t="shared" si="33"/>
        <v>0</v>
      </c>
      <c r="BL27" s="30"/>
      <c r="BM27" s="49">
        <v>23</v>
      </c>
      <c r="BN27" s="50">
        <f t="shared" si="84"/>
        <v>0</v>
      </c>
      <c r="BO27" s="50">
        <f t="shared" si="34"/>
        <v>0</v>
      </c>
      <c r="BP27" s="50">
        <f t="shared" si="35"/>
        <v>0</v>
      </c>
      <c r="BQ27" s="50">
        <f t="shared" si="36"/>
        <v>0</v>
      </c>
      <c r="BR27" s="50">
        <f t="shared" si="37"/>
        <v>0</v>
      </c>
      <c r="BS27" s="30"/>
      <c r="BT27" s="49">
        <v>23</v>
      </c>
      <c r="BU27" s="50">
        <f t="shared" si="85"/>
        <v>0</v>
      </c>
      <c r="BV27" s="50">
        <f t="shared" si="38"/>
        <v>0</v>
      </c>
      <c r="BW27" s="50">
        <f t="shared" si="39"/>
        <v>0</v>
      </c>
      <c r="BX27" s="50">
        <f t="shared" si="40"/>
        <v>0</v>
      </c>
      <c r="BY27" s="50">
        <f t="shared" si="41"/>
        <v>0</v>
      </c>
      <c r="BZ27" s="30"/>
      <c r="CA27" s="49">
        <v>23</v>
      </c>
      <c r="CB27" s="50">
        <f t="shared" si="86"/>
        <v>0</v>
      </c>
      <c r="CC27" s="50">
        <f t="shared" si="42"/>
        <v>0</v>
      </c>
      <c r="CD27" s="50">
        <f t="shared" si="87"/>
        <v>0</v>
      </c>
      <c r="CE27" s="50">
        <f t="shared" si="43"/>
        <v>0</v>
      </c>
      <c r="CF27" s="50">
        <f t="shared" si="44"/>
        <v>0</v>
      </c>
      <c r="CG27" s="30"/>
      <c r="CH27" s="49">
        <v>23</v>
      </c>
      <c r="CI27" s="50">
        <f t="shared" si="88"/>
        <v>0</v>
      </c>
      <c r="CJ27" s="50">
        <f t="shared" si="45"/>
        <v>0</v>
      </c>
      <c r="CK27" s="50">
        <f t="shared" si="46"/>
        <v>0</v>
      </c>
      <c r="CL27" s="50">
        <f t="shared" si="47"/>
        <v>0</v>
      </c>
      <c r="CM27" s="50">
        <f t="shared" si="48"/>
        <v>0</v>
      </c>
      <c r="CN27" s="30"/>
      <c r="CO27" s="49">
        <v>23</v>
      </c>
      <c r="CP27" s="50">
        <f t="shared" si="89"/>
        <v>0</v>
      </c>
      <c r="CQ27" s="50">
        <f t="shared" si="49"/>
        <v>0</v>
      </c>
      <c r="CR27" s="50">
        <f t="shared" si="50"/>
        <v>0</v>
      </c>
      <c r="CS27" s="50">
        <f t="shared" si="51"/>
        <v>0</v>
      </c>
      <c r="CT27" s="50">
        <f t="shared" si="52"/>
        <v>0</v>
      </c>
      <c r="CU27" s="30"/>
      <c r="CV27" s="49">
        <v>23</v>
      </c>
      <c r="CW27" s="50">
        <f t="shared" si="90"/>
        <v>0</v>
      </c>
      <c r="CX27" s="50">
        <f t="shared" si="53"/>
        <v>0</v>
      </c>
      <c r="CY27" s="50">
        <f t="shared" si="54"/>
        <v>0</v>
      </c>
      <c r="CZ27" s="50">
        <f t="shared" si="55"/>
        <v>0</v>
      </c>
      <c r="DA27" s="50">
        <f t="shared" si="56"/>
        <v>0</v>
      </c>
      <c r="DB27" s="30"/>
      <c r="DC27" s="49">
        <v>23</v>
      </c>
      <c r="DD27" s="50">
        <f t="shared" si="91"/>
        <v>0</v>
      </c>
      <c r="DE27" s="50">
        <f t="shared" si="57"/>
        <v>0</v>
      </c>
      <c r="DF27" s="50">
        <f t="shared" si="58"/>
        <v>0</v>
      </c>
      <c r="DG27" s="50">
        <f t="shared" si="59"/>
        <v>0</v>
      </c>
      <c r="DH27" s="50">
        <f t="shared" si="60"/>
        <v>0</v>
      </c>
      <c r="DI27" s="30"/>
      <c r="DJ27" s="49">
        <v>23</v>
      </c>
      <c r="DK27" s="50">
        <f t="shared" si="92"/>
        <v>0</v>
      </c>
      <c r="DL27" s="50">
        <f t="shared" si="61"/>
        <v>0</v>
      </c>
      <c r="DM27" s="50">
        <f t="shared" si="62"/>
        <v>0</v>
      </c>
      <c r="DN27" s="50">
        <f t="shared" si="63"/>
        <v>0</v>
      </c>
      <c r="DO27" s="50">
        <f t="shared" si="64"/>
        <v>0</v>
      </c>
      <c r="DP27" s="30"/>
      <c r="DQ27" s="49">
        <v>23</v>
      </c>
      <c r="DR27" s="50">
        <f t="shared" si="93"/>
        <v>0</v>
      </c>
      <c r="DS27" s="50">
        <f t="shared" si="65"/>
        <v>0</v>
      </c>
      <c r="DT27" s="50">
        <f t="shared" si="66"/>
        <v>0</v>
      </c>
      <c r="DU27" s="50">
        <f t="shared" si="67"/>
        <v>0</v>
      </c>
      <c r="DV27" s="50">
        <f t="shared" si="68"/>
        <v>0</v>
      </c>
      <c r="DW27" s="30"/>
      <c r="DX27" s="49">
        <v>23</v>
      </c>
      <c r="DY27" s="50">
        <f t="shared" si="94"/>
        <v>0</v>
      </c>
      <c r="DZ27" s="50">
        <f t="shared" si="69"/>
        <v>0</v>
      </c>
      <c r="EA27" s="50">
        <f t="shared" si="70"/>
        <v>0</v>
      </c>
      <c r="EB27" s="50">
        <f t="shared" si="71"/>
        <v>0</v>
      </c>
      <c r="EC27" s="50">
        <f t="shared" si="72"/>
        <v>0</v>
      </c>
    </row>
    <row r="28" spans="2:133" x14ac:dyDescent="0.75">
      <c r="B28" s="49">
        <v>24</v>
      </c>
      <c r="C28" s="50">
        <f t="shared" si="73"/>
        <v>1811.7599999999998</v>
      </c>
      <c r="D28" s="50">
        <f t="shared" si="0"/>
        <v>182.53482</v>
      </c>
      <c r="E28" s="50">
        <f t="shared" si="1"/>
        <v>5110.9749599999996</v>
      </c>
      <c r="F28" s="50">
        <f t="shared" si="2"/>
        <v>5476.0446000000002</v>
      </c>
      <c r="G28" s="50">
        <f t="shared" si="3"/>
        <v>5658.57942</v>
      </c>
      <c r="H28" s="30"/>
      <c r="I28" s="49">
        <v>24</v>
      </c>
      <c r="J28" s="50">
        <f t="shared" si="74"/>
        <v>1934.3999999999999</v>
      </c>
      <c r="K28" s="50">
        <f t="shared" si="4"/>
        <v>194.89079999999998</v>
      </c>
      <c r="L28" s="50">
        <f t="shared" si="5"/>
        <v>5456.9423999999999</v>
      </c>
      <c r="M28" s="50">
        <f t="shared" si="6"/>
        <v>5846.7239999999993</v>
      </c>
      <c r="N28" s="50">
        <f t="shared" si="7"/>
        <v>6041.6147999999994</v>
      </c>
      <c r="O28" s="30"/>
      <c r="P28" s="49">
        <v>24</v>
      </c>
      <c r="Q28" s="50">
        <f t="shared" si="75"/>
        <v>2027.7599999999998</v>
      </c>
      <c r="R28" s="50">
        <f t="shared" si="8"/>
        <v>204.29682</v>
      </c>
      <c r="S28" s="50">
        <f t="shared" si="9"/>
        <v>5720.3109599999998</v>
      </c>
      <c r="T28" s="50">
        <f t="shared" si="10"/>
        <v>6128.9045999999998</v>
      </c>
      <c r="U28" s="50">
        <f t="shared" si="11"/>
        <v>6333.2014200000003</v>
      </c>
      <c r="V28" s="30"/>
      <c r="W28" s="49">
        <v>24</v>
      </c>
      <c r="X28" s="50">
        <f t="shared" si="76"/>
        <v>2085.12</v>
      </c>
      <c r="Y28" s="50">
        <f t="shared" si="12"/>
        <v>210.07584</v>
      </c>
      <c r="Z28" s="50">
        <f t="shared" si="77"/>
        <v>5882.1235200000001</v>
      </c>
      <c r="AA28" s="50">
        <f t="shared" si="13"/>
        <v>6302.2752</v>
      </c>
      <c r="AB28" s="50">
        <f t="shared" si="14"/>
        <v>6512.3510399999996</v>
      </c>
      <c r="AC28" s="30"/>
      <c r="AD28" s="49">
        <v>24</v>
      </c>
      <c r="AE28" s="50">
        <f t="shared" si="78"/>
        <v>2150.88</v>
      </c>
      <c r="AF28" s="50">
        <f t="shared" si="15"/>
        <v>216.70116000000002</v>
      </c>
      <c r="AG28" s="50">
        <f t="shared" si="16"/>
        <v>6067.6324800000002</v>
      </c>
      <c r="AH28" s="50">
        <f t="shared" si="17"/>
        <v>6501.0348000000004</v>
      </c>
      <c r="AI28" s="50">
        <f t="shared" si="18"/>
        <v>6717.7359600000009</v>
      </c>
      <c r="AJ28" s="30"/>
      <c r="AK28" s="49">
        <v>24</v>
      </c>
      <c r="AL28" s="50">
        <f t="shared" si="79"/>
        <v>2309.2799999999997</v>
      </c>
      <c r="AM28" s="50">
        <f t="shared" si="19"/>
        <v>232.65995999999998</v>
      </c>
      <c r="AN28" s="50">
        <f t="shared" si="20"/>
        <v>6514.4788799999997</v>
      </c>
      <c r="AO28" s="50">
        <f t="shared" si="21"/>
        <v>6979.7987999999996</v>
      </c>
      <c r="AP28" s="50">
        <f t="shared" si="22"/>
        <v>7212.4587599999995</v>
      </c>
      <c r="AQ28" s="30"/>
      <c r="AR28" s="49">
        <v>24</v>
      </c>
      <c r="AS28" s="50">
        <f t="shared" si="80"/>
        <v>2489.7599999999998</v>
      </c>
      <c r="AT28" s="50">
        <f t="shared" si="23"/>
        <v>278.00660159999995</v>
      </c>
      <c r="AU28" s="50">
        <f t="shared" si="24"/>
        <v>7784.1848447999982</v>
      </c>
      <c r="AV28" s="50">
        <f t="shared" si="25"/>
        <v>8340.1980479999984</v>
      </c>
      <c r="AW28" s="50">
        <f t="shared" si="26"/>
        <v>8618.2046495999984</v>
      </c>
      <c r="AX28" s="30"/>
      <c r="AY28" s="49">
        <v>24</v>
      </c>
      <c r="AZ28" s="50">
        <f t="shared" si="81"/>
        <v>0</v>
      </c>
      <c r="BA28" s="50">
        <f t="shared" si="27"/>
        <v>0</v>
      </c>
      <c r="BB28" s="50">
        <f t="shared" si="82"/>
        <v>0</v>
      </c>
      <c r="BC28" s="50">
        <f t="shared" si="28"/>
        <v>0</v>
      </c>
      <c r="BD28" s="50">
        <f t="shared" si="29"/>
        <v>0</v>
      </c>
      <c r="BE28" s="30"/>
      <c r="BF28" s="49">
        <v>24</v>
      </c>
      <c r="BG28" s="50">
        <f t="shared" si="83"/>
        <v>0</v>
      </c>
      <c r="BH28" s="50">
        <f t="shared" si="30"/>
        <v>0</v>
      </c>
      <c r="BI28" s="50">
        <f t="shared" si="31"/>
        <v>0</v>
      </c>
      <c r="BJ28" s="50">
        <f t="shared" si="32"/>
        <v>0</v>
      </c>
      <c r="BK28" s="50">
        <f t="shared" si="33"/>
        <v>0</v>
      </c>
      <c r="BL28" s="30"/>
      <c r="BM28" s="49">
        <v>24</v>
      </c>
      <c r="BN28" s="50">
        <f t="shared" si="84"/>
        <v>0</v>
      </c>
      <c r="BO28" s="50">
        <f t="shared" si="34"/>
        <v>0</v>
      </c>
      <c r="BP28" s="50">
        <f t="shared" si="35"/>
        <v>0</v>
      </c>
      <c r="BQ28" s="50">
        <f t="shared" si="36"/>
        <v>0</v>
      </c>
      <c r="BR28" s="50">
        <f t="shared" si="37"/>
        <v>0</v>
      </c>
      <c r="BS28" s="30"/>
      <c r="BT28" s="49">
        <v>24</v>
      </c>
      <c r="BU28" s="50">
        <f t="shared" si="85"/>
        <v>0</v>
      </c>
      <c r="BV28" s="50">
        <f t="shared" si="38"/>
        <v>0</v>
      </c>
      <c r="BW28" s="50">
        <f t="shared" si="39"/>
        <v>0</v>
      </c>
      <c r="BX28" s="50">
        <f t="shared" si="40"/>
        <v>0</v>
      </c>
      <c r="BY28" s="50">
        <f t="shared" si="41"/>
        <v>0</v>
      </c>
      <c r="BZ28" s="30"/>
      <c r="CA28" s="49">
        <v>24</v>
      </c>
      <c r="CB28" s="50">
        <f t="shared" si="86"/>
        <v>0</v>
      </c>
      <c r="CC28" s="50">
        <f t="shared" si="42"/>
        <v>0</v>
      </c>
      <c r="CD28" s="50">
        <f t="shared" si="87"/>
        <v>0</v>
      </c>
      <c r="CE28" s="50">
        <f t="shared" si="43"/>
        <v>0</v>
      </c>
      <c r="CF28" s="50">
        <f t="shared" si="44"/>
        <v>0</v>
      </c>
      <c r="CG28" s="30"/>
      <c r="CH28" s="49">
        <v>24</v>
      </c>
      <c r="CI28" s="50">
        <f t="shared" si="88"/>
        <v>0</v>
      </c>
      <c r="CJ28" s="50">
        <f t="shared" si="45"/>
        <v>0</v>
      </c>
      <c r="CK28" s="50">
        <f t="shared" si="46"/>
        <v>0</v>
      </c>
      <c r="CL28" s="50">
        <f t="shared" si="47"/>
        <v>0</v>
      </c>
      <c r="CM28" s="50">
        <f t="shared" si="48"/>
        <v>0</v>
      </c>
      <c r="CN28" s="30"/>
      <c r="CO28" s="49">
        <v>24</v>
      </c>
      <c r="CP28" s="50">
        <f t="shared" si="89"/>
        <v>0</v>
      </c>
      <c r="CQ28" s="50">
        <f t="shared" si="49"/>
        <v>0</v>
      </c>
      <c r="CR28" s="50">
        <f t="shared" si="50"/>
        <v>0</v>
      </c>
      <c r="CS28" s="50">
        <f t="shared" si="51"/>
        <v>0</v>
      </c>
      <c r="CT28" s="50">
        <f t="shared" si="52"/>
        <v>0</v>
      </c>
      <c r="CU28" s="30"/>
      <c r="CV28" s="49">
        <v>24</v>
      </c>
      <c r="CW28" s="50">
        <f t="shared" si="90"/>
        <v>0</v>
      </c>
      <c r="CX28" s="50">
        <f t="shared" si="53"/>
        <v>0</v>
      </c>
      <c r="CY28" s="50">
        <f t="shared" si="54"/>
        <v>0</v>
      </c>
      <c r="CZ28" s="50">
        <f t="shared" si="55"/>
        <v>0</v>
      </c>
      <c r="DA28" s="50">
        <f t="shared" si="56"/>
        <v>0</v>
      </c>
      <c r="DB28" s="30"/>
      <c r="DC28" s="49">
        <v>24</v>
      </c>
      <c r="DD28" s="50">
        <f t="shared" si="91"/>
        <v>0</v>
      </c>
      <c r="DE28" s="50">
        <f t="shared" si="57"/>
        <v>0</v>
      </c>
      <c r="DF28" s="50">
        <f t="shared" si="58"/>
        <v>0</v>
      </c>
      <c r="DG28" s="50">
        <f t="shared" si="59"/>
        <v>0</v>
      </c>
      <c r="DH28" s="50">
        <f t="shared" si="60"/>
        <v>0</v>
      </c>
      <c r="DI28" s="30"/>
      <c r="DJ28" s="49">
        <v>24</v>
      </c>
      <c r="DK28" s="50">
        <f t="shared" si="92"/>
        <v>0</v>
      </c>
      <c r="DL28" s="50">
        <f t="shared" si="61"/>
        <v>0</v>
      </c>
      <c r="DM28" s="50">
        <f t="shared" si="62"/>
        <v>0</v>
      </c>
      <c r="DN28" s="50">
        <f t="shared" si="63"/>
        <v>0</v>
      </c>
      <c r="DO28" s="50">
        <f t="shared" si="64"/>
        <v>0</v>
      </c>
      <c r="DP28" s="30"/>
      <c r="DQ28" s="49">
        <v>24</v>
      </c>
      <c r="DR28" s="50">
        <f t="shared" si="93"/>
        <v>0</v>
      </c>
      <c r="DS28" s="50">
        <f t="shared" si="65"/>
        <v>0</v>
      </c>
      <c r="DT28" s="50">
        <f t="shared" si="66"/>
        <v>0</v>
      </c>
      <c r="DU28" s="50">
        <f t="shared" si="67"/>
        <v>0</v>
      </c>
      <c r="DV28" s="50">
        <f t="shared" si="68"/>
        <v>0</v>
      </c>
      <c r="DW28" s="30"/>
      <c r="DX28" s="49">
        <v>24</v>
      </c>
      <c r="DY28" s="50">
        <f t="shared" si="94"/>
        <v>0</v>
      </c>
      <c r="DZ28" s="50">
        <f t="shared" si="69"/>
        <v>0</v>
      </c>
      <c r="EA28" s="50">
        <f t="shared" si="70"/>
        <v>0</v>
      </c>
      <c r="EB28" s="50">
        <f t="shared" si="71"/>
        <v>0</v>
      </c>
      <c r="EC28" s="50">
        <f t="shared" si="72"/>
        <v>0</v>
      </c>
    </row>
    <row r="29" spans="2:133" x14ac:dyDescent="0.75">
      <c r="B29" s="49">
        <v>25</v>
      </c>
      <c r="C29" s="50">
        <f t="shared" si="73"/>
        <v>1887.2499999999998</v>
      </c>
      <c r="D29" s="50">
        <f t="shared" si="0"/>
        <v>190.14043749999999</v>
      </c>
      <c r="E29" s="50">
        <f t="shared" si="1"/>
        <v>5323.9322499999998</v>
      </c>
      <c r="F29" s="50">
        <f t="shared" si="2"/>
        <v>5704.2131249999993</v>
      </c>
      <c r="G29" s="50">
        <f t="shared" si="3"/>
        <v>5894.3535624999995</v>
      </c>
      <c r="H29" s="30"/>
      <c r="I29" s="49">
        <v>25</v>
      </c>
      <c r="J29" s="50">
        <f t="shared" si="74"/>
        <v>2014.9999999999998</v>
      </c>
      <c r="K29" s="50">
        <f t="shared" si="4"/>
        <v>203.01124999999999</v>
      </c>
      <c r="L29" s="50">
        <f t="shared" si="5"/>
        <v>5684.3149999999996</v>
      </c>
      <c r="M29" s="50">
        <f t="shared" si="6"/>
        <v>6090.3374999999996</v>
      </c>
      <c r="N29" s="50">
        <f t="shared" si="7"/>
        <v>6293.3487500000001</v>
      </c>
      <c r="O29" s="30"/>
      <c r="P29" s="49">
        <v>25</v>
      </c>
      <c r="Q29" s="50">
        <f t="shared" si="75"/>
        <v>2112.25</v>
      </c>
      <c r="R29" s="50">
        <f t="shared" si="8"/>
        <v>212.80918750000001</v>
      </c>
      <c r="S29" s="50">
        <f t="shared" si="9"/>
        <v>5958.6572500000002</v>
      </c>
      <c r="T29" s="50">
        <f t="shared" si="10"/>
        <v>6384.2756250000002</v>
      </c>
      <c r="U29" s="50">
        <f t="shared" si="11"/>
        <v>6597.0848125000002</v>
      </c>
      <c r="V29" s="30"/>
      <c r="W29" s="49">
        <v>25</v>
      </c>
      <c r="X29" s="50">
        <f t="shared" si="76"/>
        <v>2172</v>
      </c>
      <c r="Y29" s="50">
        <f t="shared" si="12"/>
        <v>218.82900000000001</v>
      </c>
      <c r="Z29" s="50">
        <f t="shared" si="77"/>
        <v>6127.2120000000004</v>
      </c>
      <c r="AA29" s="50">
        <f t="shared" si="13"/>
        <v>6564.87</v>
      </c>
      <c r="AB29" s="50">
        <f t="shared" si="14"/>
        <v>6783.6990000000005</v>
      </c>
      <c r="AC29" s="30"/>
      <c r="AD29" s="49">
        <v>25</v>
      </c>
      <c r="AE29" s="50">
        <f t="shared" si="78"/>
        <v>2240.5</v>
      </c>
      <c r="AF29" s="50">
        <f t="shared" si="15"/>
        <v>225.73037500000001</v>
      </c>
      <c r="AG29" s="50">
        <f t="shared" si="16"/>
        <v>6320.4504999999999</v>
      </c>
      <c r="AH29" s="50">
        <f t="shared" si="17"/>
        <v>6771.9112500000001</v>
      </c>
      <c r="AI29" s="50">
        <f t="shared" si="18"/>
        <v>6997.6416250000002</v>
      </c>
      <c r="AJ29" s="30"/>
      <c r="AK29" s="49">
        <v>25</v>
      </c>
      <c r="AL29" s="50">
        <f t="shared" si="79"/>
        <v>2405.5</v>
      </c>
      <c r="AM29" s="50">
        <f t="shared" si="19"/>
        <v>242.35412500000001</v>
      </c>
      <c r="AN29" s="50">
        <f t="shared" si="20"/>
        <v>6785.9155000000001</v>
      </c>
      <c r="AO29" s="50">
        <f t="shared" si="21"/>
        <v>7270.6237500000007</v>
      </c>
      <c r="AP29" s="50">
        <f t="shared" si="22"/>
        <v>7512.9778750000005</v>
      </c>
      <c r="AQ29" s="30"/>
      <c r="AR29" s="49">
        <v>25</v>
      </c>
      <c r="AS29" s="50">
        <f t="shared" si="80"/>
        <v>2593.5</v>
      </c>
      <c r="AT29" s="50">
        <f t="shared" si="23"/>
        <v>289.59021000000001</v>
      </c>
      <c r="AU29" s="50">
        <f t="shared" si="24"/>
        <v>8108.5258800000001</v>
      </c>
      <c r="AV29" s="50">
        <f t="shared" si="25"/>
        <v>8687.7062999999998</v>
      </c>
      <c r="AW29" s="50">
        <f t="shared" si="26"/>
        <v>8977.2965100000001</v>
      </c>
      <c r="AX29" s="30"/>
      <c r="AY29" s="49">
        <v>25</v>
      </c>
      <c r="AZ29" s="50">
        <f t="shared" si="81"/>
        <v>0</v>
      </c>
      <c r="BA29" s="50">
        <f t="shared" si="27"/>
        <v>0</v>
      </c>
      <c r="BB29" s="50">
        <f t="shared" si="82"/>
        <v>0</v>
      </c>
      <c r="BC29" s="50">
        <f t="shared" si="28"/>
        <v>0</v>
      </c>
      <c r="BD29" s="50">
        <f t="shared" si="29"/>
        <v>0</v>
      </c>
      <c r="BE29" s="30"/>
      <c r="BF29" s="49">
        <v>25</v>
      </c>
      <c r="BG29" s="50">
        <f t="shared" si="83"/>
        <v>0</v>
      </c>
      <c r="BH29" s="50">
        <f t="shared" si="30"/>
        <v>0</v>
      </c>
      <c r="BI29" s="50">
        <f t="shared" si="31"/>
        <v>0</v>
      </c>
      <c r="BJ29" s="50">
        <f t="shared" si="32"/>
        <v>0</v>
      </c>
      <c r="BK29" s="50">
        <f t="shared" si="33"/>
        <v>0</v>
      </c>
      <c r="BL29" s="30"/>
      <c r="BM29" s="49">
        <v>25</v>
      </c>
      <c r="BN29" s="50">
        <f t="shared" si="84"/>
        <v>0</v>
      </c>
      <c r="BO29" s="50">
        <f t="shared" si="34"/>
        <v>0</v>
      </c>
      <c r="BP29" s="50">
        <f t="shared" si="35"/>
        <v>0</v>
      </c>
      <c r="BQ29" s="50">
        <f t="shared" si="36"/>
        <v>0</v>
      </c>
      <c r="BR29" s="50">
        <f t="shared" si="37"/>
        <v>0</v>
      </c>
      <c r="BS29" s="30"/>
      <c r="BT29" s="49">
        <v>25</v>
      </c>
      <c r="BU29" s="50">
        <f t="shared" si="85"/>
        <v>0</v>
      </c>
      <c r="BV29" s="50">
        <f t="shared" si="38"/>
        <v>0</v>
      </c>
      <c r="BW29" s="50">
        <f t="shared" si="39"/>
        <v>0</v>
      </c>
      <c r="BX29" s="50">
        <f t="shared" si="40"/>
        <v>0</v>
      </c>
      <c r="BY29" s="50">
        <f t="shared" si="41"/>
        <v>0</v>
      </c>
      <c r="BZ29" s="30"/>
      <c r="CA29" s="49">
        <v>25</v>
      </c>
      <c r="CB29" s="50">
        <f t="shared" si="86"/>
        <v>0</v>
      </c>
      <c r="CC29" s="50">
        <f t="shared" si="42"/>
        <v>0</v>
      </c>
      <c r="CD29" s="50">
        <f t="shared" si="87"/>
        <v>0</v>
      </c>
      <c r="CE29" s="50">
        <f t="shared" si="43"/>
        <v>0</v>
      </c>
      <c r="CF29" s="50">
        <f t="shared" si="44"/>
        <v>0</v>
      </c>
      <c r="CG29" s="30"/>
      <c r="CH29" s="49">
        <v>25</v>
      </c>
      <c r="CI29" s="50">
        <f t="shared" si="88"/>
        <v>0</v>
      </c>
      <c r="CJ29" s="50">
        <f t="shared" si="45"/>
        <v>0</v>
      </c>
      <c r="CK29" s="50">
        <f t="shared" si="46"/>
        <v>0</v>
      </c>
      <c r="CL29" s="50">
        <f t="shared" si="47"/>
        <v>0</v>
      </c>
      <c r="CM29" s="50">
        <f t="shared" si="48"/>
        <v>0</v>
      </c>
      <c r="CN29" s="30"/>
      <c r="CO29" s="49">
        <v>25</v>
      </c>
      <c r="CP29" s="50">
        <f t="shared" si="89"/>
        <v>0</v>
      </c>
      <c r="CQ29" s="50">
        <f t="shared" si="49"/>
        <v>0</v>
      </c>
      <c r="CR29" s="50">
        <f t="shared" si="50"/>
        <v>0</v>
      </c>
      <c r="CS29" s="50">
        <f t="shared" si="51"/>
        <v>0</v>
      </c>
      <c r="CT29" s="50">
        <f t="shared" si="52"/>
        <v>0</v>
      </c>
      <c r="CU29" s="30"/>
      <c r="CV29" s="49">
        <v>25</v>
      </c>
      <c r="CW29" s="50">
        <f t="shared" si="90"/>
        <v>0</v>
      </c>
      <c r="CX29" s="50">
        <f t="shared" si="53"/>
        <v>0</v>
      </c>
      <c r="CY29" s="50">
        <f t="shared" si="54"/>
        <v>0</v>
      </c>
      <c r="CZ29" s="50">
        <f t="shared" si="55"/>
        <v>0</v>
      </c>
      <c r="DA29" s="50">
        <f t="shared" si="56"/>
        <v>0</v>
      </c>
      <c r="DB29" s="30"/>
      <c r="DC29" s="49">
        <v>25</v>
      </c>
      <c r="DD29" s="50">
        <f t="shared" si="91"/>
        <v>0</v>
      </c>
      <c r="DE29" s="50">
        <f t="shared" si="57"/>
        <v>0</v>
      </c>
      <c r="DF29" s="50">
        <f t="shared" si="58"/>
        <v>0</v>
      </c>
      <c r="DG29" s="50">
        <f t="shared" si="59"/>
        <v>0</v>
      </c>
      <c r="DH29" s="50">
        <f t="shared" si="60"/>
        <v>0</v>
      </c>
      <c r="DI29" s="30"/>
      <c r="DJ29" s="49">
        <v>25</v>
      </c>
      <c r="DK29" s="50">
        <f t="shared" si="92"/>
        <v>0</v>
      </c>
      <c r="DL29" s="50">
        <f t="shared" si="61"/>
        <v>0</v>
      </c>
      <c r="DM29" s="50">
        <f t="shared" si="62"/>
        <v>0</v>
      </c>
      <c r="DN29" s="50">
        <f t="shared" si="63"/>
        <v>0</v>
      </c>
      <c r="DO29" s="50">
        <f t="shared" si="64"/>
        <v>0</v>
      </c>
      <c r="DP29" s="30"/>
      <c r="DQ29" s="49">
        <v>25</v>
      </c>
      <c r="DR29" s="50">
        <f t="shared" si="93"/>
        <v>0</v>
      </c>
      <c r="DS29" s="50">
        <f t="shared" si="65"/>
        <v>0</v>
      </c>
      <c r="DT29" s="50">
        <f t="shared" si="66"/>
        <v>0</v>
      </c>
      <c r="DU29" s="50">
        <f t="shared" si="67"/>
        <v>0</v>
      </c>
      <c r="DV29" s="50">
        <f t="shared" si="68"/>
        <v>0</v>
      </c>
      <c r="DW29" s="30"/>
      <c r="DX29" s="49">
        <v>25</v>
      </c>
      <c r="DY29" s="50">
        <f t="shared" si="94"/>
        <v>0</v>
      </c>
      <c r="DZ29" s="50">
        <f t="shared" si="69"/>
        <v>0</v>
      </c>
      <c r="EA29" s="50">
        <f t="shared" si="70"/>
        <v>0</v>
      </c>
      <c r="EB29" s="50">
        <f t="shared" si="71"/>
        <v>0</v>
      </c>
      <c r="EC29" s="50">
        <f t="shared" si="72"/>
        <v>0</v>
      </c>
    </row>
    <row r="30" spans="2:133" x14ac:dyDescent="0.75">
      <c r="B30" s="30"/>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c r="BY30" s="30"/>
      <c r="BZ30" s="30"/>
      <c r="CA30" s="30"/>
      <c r="CB30" s="30"/>
      <c r="CC30" s="30"/>
      <c r="CD30" s="30"/>
      <c r="CE30" s="30"/>
      <c r="CF30" s="30"/>
      <c r="CG30" s="30"/>
      <c r="CH30" s="30"/>
      <c r="CI30" s="30"/>
      <c r="CJ30" s="30"/>
      <c r="CK30" s="30"/>
      <c r="CL30" s="30"/>
      <c r="CM30" s="30"/>
      <c r="CN30" s="30"/>
      <c r="CO30" s="30"/>
      <c r="CP30" s="30"/>
      <c r="CQ30" s="30"/>
      <c r="CR30" s="30"/>
      <c r="CS30" s="30"/>
      <c r="CT30" s="30"/>
      <c r="CU30" s="30"/>
      <c r="CV30" s="30"/>
      <c r="CW30" s="30"/>
      <c r="CX30" s="30"/>
      <c r="CY30" s="30"/>
      <c r="CZ30" s="30"/>
      <c r="DA30" s="30"/>
      <c r="DB30" s="30"/>
      <c r="DC30" s="30"/>
      <c r="DD30" s="30"/>
      <c r="DE30" s="30"/>
      <c r="DF30" s="30"/>
      <c r="DG30" s="30"/>
      <c r="DH30" s="30"/>
      <c r="DI30" s="30"/>
      <c r="DJ30" s="30"/>
      <c r="DK30" s="30"/>
      <c r="DL30" s="30"/>
      <c r="DM30" s="30"/>
      <c r="DN30" s="30"/>
      <c r="DO30" s="30"/>
      <c r="DP30" s="30"/>
      <c r="DQ30" s="30"/>
      <c r="DR30" s="30"/>
      <c r="DS30" s="30"/>
      <c r="DT30" s="30"/>
      <c r="DU30" s="30"/>
      <c r="DV30" s="30"/>
      <c r="DW30" s="30"/>
      <c r="DX30" s="30"/>
      <c r="DY30" s="30"/>
      <c r="DZ30" s="30"/>
      <c r="EA30" s="30"/>
      <c r="EB30" s="30"/>
      <c r="EC30" s="30"/>
    </row>
  </sheetData>
  <sheetProtection algorithmName="SHA-512" hashValue="I0/ZqCcxRfCV9Zw3ROs5nGuo3G/YwHArRDj3fPMnqnqGOQp8QmUnz3GRrRZ7zIEVQijgKXgJz5BLZvRtDVx95w==" saltValue="mYBDUPOeptZqEaGzMFhJCg==" spinCount="100000" sheet="1" formatColumns="0"/>
  <dataValidations count="1">
    <dataValidation type="decimal" operator="greaterThanOrEqual" allowBlank="1" showInputMessage="1" showErrorMessage="1" error="Sólo se aceptan número decimales mayores a Cero_x000a_" sqref="AS5 AZ5 BG5 BN5 BU5 CB5 CI5 CP5 CW5 DD5 DK5 DR5 DY5" xr:uid="{00000000-0002-0000-0300-000000000000}">
      <formula1>0</formula1>
    </dataValidation>
  </dataValidations>
  <pageMargins left="0.7" right="0.7" top="0.75" bottom="0.75" header="0.3" footer="0.3"/>
  <ignoredErrors>
    <ignoredError sqref="Z6 BB6 CD6" formula="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AB610-3AF8-4638-A33B-5C70D97A3354}">
  <sheetPr codeName="Hoja2">
    <tabColor rgb="FF002060"/>
  </sheetPr>
  <dimension ref="A1:I15"/>
  <sheetViews>
    <sheetView workbookViewId="0">
      <selection activeCell="G11" sqref="G11"/>
    </sheetView>
  </sheetViews>
  <sheetFormatPr baseColWidth="10" defaultRowHeight="14.75" x14ac:dyDescent="0.75"/>
  <cols>
    <col min="1" max="2" width="22" customWidth="1"/>
    <col min="6" max="9" width="26.1796875" customWidth="1"/>
  </cols>
  <sheetData>
    <row r="1" spans="1:9" ht="18.25" x14ac:dyDescent="0.75">
      <c r="A1" s="112" t="s">
        <v>56</v>
      </c>
      <c r="B1" s="113">
        <f>'Cálculo de Pensión'!F93</f>
        <v>0</v>
      </c>
      <c r="F1" s="137" t="s">
        <v>124</v>
      </c>
      <c r="G1" s="138"/>
      <c r="H1" s="138"/>
      <c r="I1" s="139"/>
    </row>
    <row r="2" spans="1:9" ht="18.25" x14ac:dyDescent="0.75">
      <c r="A2" s="3" t="s">
        <v>57</v>
      </c>
      <c r="B2" s="10">
        <f>'Cálculo de Pensión'!F94</f>
        <v>47305.439999999995</v>
      </c>
      <c r="F2" s="137" t="s">
        <v>4</v>
      </c>
      <c r="G2" s="138"/>
      <c r="H2" s="138"/>
      <c r="I2" s="139"/>
    </row>
    <row r="3" spans="1:9" x14ac:dyDescent="0.75">
      <c r="A3" s="3" t="s">
        <v>2</v>
      </c>
      <c r="B3" s="10">
        <f>IF(B1-B2&lt;0,0,B1-B2)</f>
        <v>0</v>
      </c>
      <c r="F3" s="140" t="s">
        <v>5</v>
      </c>
      <c r="G3" s="140" t="s">
        <v>6</v>
      </c>
      <c r="H3" s="140" t="s">
        <v>7</v>
      </c>
      <c r="I3" s="140" t="s">
        <v>8</v>
      </c>
    </row>
    <row r="4" spans="1:9" x14ac:dyDescent="0.75">
      <c r="A4" s="3" t="s">
        <v>3</v>
      </c>
      <c r="B4" s="10">
        <f>LOOKUP(B3,$F$5:$G$15,$F$5:$F$15)</f>
        <v>0</v>
      </c>
      <c r="F4" s="140"/>
      <c r="G4" s="140"/>
      <c r="H4" s="140"/>
      <c r="I4" s="140" t="s">
        <v>9</v>
      </c>
    </row>
    <row r="5" spans="1:9" ht="18.25" x14ac:dyDescent="0.75">
      <c r="A5" s="3" t="s">
        <v>10</v>
      </c>
      <c r="B5" s="24">
        <f>+B3-B4</f>
        <v>0</v>
      </c>
      <c r="F5" s="4">
        <v>0</v>
      </c>
      <c r="G5" s="4">
        <v>746.04</v>
      </c>
      <c r="H5" s="4">
        <v>0</v>
      </c>
      <c r="I5" s="5">
        <v>1.9199999999999998E-2</v>
      </c>
    </row>
    <row r="6" spans="1:9" ht="18.25" x14ac:dyDescent="0.75">
      <c r="A6" s="3" t="s">
        <v>11</v>
      </c>
      <c r="B6" s="25">
        <f>LOOKUP(B3,F5:G15,I5:I15)</f>
        <v>1.9199999999999998E-2</v>
      </c>
      <c r="F6" s="109">
        <v>746.05</v>
      </c>
      <c r="G6" s="110">
        <v>6332.05</v>
      </c>
      <c r="H6" s="109">
        <v>14.32</v>
      </c>
      <c r="I6" s="111">
        <v>6.4000000000000001E-2</v>
      </c>
    </row>
    <row r="7" spans="1:9" ht="18.25" x14ac:dyDescent="0.75">
      <c r="A7" s="3" t="s">
        <v>12</v>
      </c>
      <c r="B7" s="10">
        <f>+B5*B6</f>
        <v>0</v>
      </c>
      <c r="F7" s="6">
        <f t="shared" ref="F7:F15" si="0">G6+0.01</f>
        <v>6332.06</v>
      </c>
      <c r="G7" s="6">
        <v>11128.01</v>
      </c>
      <c r="H7" s="4">
        <v>371.83</v>
      </c>
      <c r="I7" s="5">
        <v>0.10879999999999999</v>
      </c>
    </row>
    <row r="8" spans="1:9" ht="18.25" x14ac:dyDescent="0.75">
      <c r="A8" s="3" t="s">
        <v>13</v>
      </c>
      <c r="B8" s="10">
        <f>LOOKUP(B3,$F$5:$G$15,H5:H15)</f>
        <v>0</v>
      </c>
      <c r="F8" s="6">
        <f t="shared" si="0"/>
        <v>11128.02</v>
      </c>
      <c r="G8" s="110">
        <v>12935.82</v>
      </c>
      <c r="H8" s="109">
        <v>893.63</v>
      </c>
      <c r="I8" s="111">
        <v>0.16</v>
      </c>
    </row>
    <row r="9" spans="1:9" ht="18.25" x14ac:dyDescent="0.75">
      <c r="A9" s="114" t="s">
        <v>14</v>
      </c>
      <c r="B9" s="115">
        <f>+B7+B8</f>
        <v>0</v>
      </c>
      <c r="F9" s="6">
        <f t="shared" si="0"/>
        <v>12935.83</v>
      </c>
      <c r="G9" s="6">
        <v>15487.71</v>
      </c>
      <c r="H9" s="6">
        <v>1182.8800000000001</v>
      </c>
      <c r="I9" s="5">
        <v>0.1792</v>
      </c>
    </row>
    <row r="10" spans="1:9" ht="18.25" x14ac:dyDescent="0.75">
      <c r="F10" s="6">
        <f t="shared" si="0"/>
        <v>15487.72</v>
      </c>
      <c r="G10" s="110">
        <v>31236.49</v>
      </c>
      <c r="H10" s="110">
        <v>1640.18</v>
      </c>
      <c r="I10" s="111">
        <v>0.21360000000000001</v>
      </c>
    </row>
    <row r="11" spans="1:9" ht="18.25" x14ac:dyDescent="0.75">
      <c r="F11" s="6">
        <f t="shared" si="0"/>
        <v>31236.5</v>
      </c>
      <c r="G11" s="6">
        <v>49233</v>
      </c>
      <c r="H11" s="6">
        <v>5004.12</v>
      </c>
      <c r="I11" s="5">
        <v>0.23519999999999999</v>
      </c>
    </row>
    <row r="12" spans="1:9" ht="18.25" x14ac:dyDescent="0.75">
      <c r="F12" s="6">
        <f t="shared" si="0"/>
        <v>49233.01</v>
      </c>
      <c r="G12" s="110">
        <v>93993.9</v>
      </c>
      <c r="H12" s="110">
        <v>9236.89</v>
      </c>
      <c r="I12" s="111">
        <v>0.3</v>
      </c>
    </row>
    <row r="13" spans="1:9" ht="18.25" x14ac:dyDescent="0.75">
      <c r="F13" s="6">
        <f t="shared" si="0"/>
        <v>93993.909999999989</v>
      </c>
      <c r="G13" s="6">
        <v>125325.2</v>
      </c>
      <c r="H13" s="6">
        <v>22665.17</v>
      </c>
      <c r="I13" s="5">
        <v>0.32</v>
      </c>
    </row>
    <row r="14" spans="1:9" ht="18.25" x14ac:dyDescent="0.75">
      <c r="F14" s="6">
        <f t="shared" si="0"/>
        <v>125325.20999999999</v>
      </c>
      <c r="G14" s="110">
        <v>375975.61</v>
      </c>
      <c r="H14" s="110">
        <v>32691.18</v>
      </c>
      <c r="I14" s="111">
        <v>0.34</v>
      </c>
    </row>
    <row r="15" spans="1:9" ht="18.25" x14ac:dyDescent="0.75">
      <c r="F15" s="6">
        <f t="shared" si="0"/>
        <v>375975.62</v>
      </c>
      <c r="G15" s="86" t="s">
        <v>102</v>
      </c>
      <c r="H15" s="6">
        <v>117912.32000000001</v>
      </c>
      <c r="I15" s="5">
        <v>0.35</v>
      </c>
    </row>
  </sheetData>
  <sheetProtection algorithmName="SHA-512" hashValue="kgkMXBxmlMDjCa3BVd0oy15wDgTl+o2gtLymGvBpalkdNmezvPfTaPlRRg0w0XK4UFxoQ97g0RbXwwH/vuei5g==" saltValue="XyFnaTXcCPBkU4a/D4Vlrg==" spinCount="100000" sheet="1" objects="1" scenarios="1"/>
  <mergeCells count="6">
    <mergeCell ref="F1:I1"/>
    <mergeCell ref="F2:I2"/>
    <mergeCell ref="F3:F4"/>
    <mergeCell ref="G3:G4"/>
    <mergeCell ref="H3:H4"/>
    <mergeCell ref="I3:I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tabColor rgb="FF002060"/>
  </sheetPr>
  <dimension ref="B2:S34"/>
  <sheetViews>
    <sheetView workbookViewId="0">
      <selection activeCell="G19" sqref="G19"/>
    </sheetView>
  </sheetViews>
  <sheetFormatPr baseColWidth="10" defaultColWidth="9.1796875" defaultRowHeight="14.75" x14ac:dyDescent="0.75"/>
  <cols>
    <col min="1" max="1" width="2.7265625" style="2" customWidth="1"/>
    <col min="2" max="2" width="9.1796875" style="2"/>
    <col min="3" max="3" width="11.453125" style="2" bestFit="1" customWidth="1"/>
    <col min="4" max="5" width="19" style="2" customWidth="1"/>
    <col min="6" max="6" width="1.7265625" style="2" customWidth="1"/>
    <col min="7" max="7" width="14" style="2" bestFit="1" customWidth="1"/>
    <col min="8" max="8" width="16.7265625" style="2" bestFit="1" customWidth="1"/>
    <col min="9" max="9" width="1.7265625" style="2" customWidth="1"/>
    <col min="10" max="10" width="9.1796875" style="2"/>
    <col min="11" max="11" width="12.1796875" style="2" customWidth="1"/>
    <col min="12" max="12" width="17.54296875" style="2" customWidth="1"/>
    <col min="13" max="13" width="9.1796875" style="2"/>
    <col min="14" max="14" width="27.1796875" style="2" customWidth="1"/>
    <col min="15" max="16384" width="9.1796875" style="2"/>
  </cols>
  <sheetData>
    <row r="2" spans="2:19" ht="40" customHeight="1" x14ac:dyDescent="0.75"/>
    <row r="4" spans="2:19" x14ac:dyDescent="0.75">
      <c r="B4" s="141" t="s">
        <v>123</v>
      </c>
      <c r="C4" s="141"/>
      <c r="D4" s="21"/>
      <c r="E4" s="21"/>
      <c r="G4" s="21"/>
      <c r="H4" s="21"/>
      <c r="J4" s="141" t="s">
        <v>90</v>
      </c>
      <c r="K4" s="141"/>
      <c r="L4" s="141"/>
    </row>
    <row r="5" spans="2:19" ht="15.5" thickBot="1" x14ac:dyDescent="0.9">
      <c r="B5" s="21" t="s">
        <v>31</v>
      </c>
      <c r="C5" s="21" t="s">
        <v>32</v>
      </c>
      <c r="D5" s="21" t="s">
        <v>33</v>
      </c>
      <c r="E5" s="21" t="s">
        <v>34</v>
      </c>
      <c r="G5" s="21" t="s">
        <v>50</v>
      </c>
      <c r="H5" s="21" t="s">
        <v>51</v>
      </c>
      <c r="J5" s="21" t="s">
        <v>60</v>
      </c>
      <c r="K5" s="21" t="s">
        <v>88</v>
      </c>
      <c r="L5" s="21" t="s">
        <v>89</v>
      </c>
    </row>
    <row r="6" spans="2:19" ht="15.5" thickBot="1" x14ac:dyDescent="0.9">
      <c r="B6" s="15">
        <v>0</v>
      </c>
      <c r="C6" s="16">
        <v>1</v>
      </c>
      <c r="D6" s="8">
        <v>0.8</v>
      </c>
      <c r="E6" s="123">
        <v>5.6299999999999996E-3</v>
      </c>
      <c r="G6" s="75">
        <v>60</v>
      </c>
      <c r="H6" s="76">
        <v>0.75</v>
      </c>
      <c r="J6" s="81">
        <v>2017</v>
      </c>
      <c r="K6" s="82">
        <v>80.040000000000006</v>
      </c>
      <c r="L6" s="83">
        <f>K6*365/12*1.11</f>
        <v>2702.3505000000005</v>
      </c>
      <c r="N6" s="85" t="s">
        <v>98</v>
      </c>
      <c r="O6" s="127">
        <f>'Cálculo de Pensión'!$F$16</f>
        <v>819</v>
      </c>
      <c r="R6" s="117">
        <v>0</v>
      </c>
      <c r="S6" s="118">
        <v>0</v>
      </c>
    </row>
    <row r="7" spans="2:19" x14ac:dyDescent="0.75">
      <c r="B7" s="15">
        <v>1.01</v>
      </c>
      <c r="C7" s="16">
        <v>1.25</v>
      </c>
      <c r="D7" s="8">
        <v>0.8</v>
      </c>
      <c r="E7" s="123">
        <v>5.6299999999999996E-3</v>
      </c>
      <c r="G7" s="77">
        <v>61</v>
      </c>
      <c r="H7" s="78">
        <v>0.8</v>
      </c>
      <c r="J7" s="11">
        <v>2018</v>
      </c>
      <c r="K7" s="24">
        <v>88.36</v>
      </c>
      <c r="L7" s="84">
        <f t="shared" ref="L7:L11" si="0">K7*365/12*1.11</f>
        <v>2983.2545000000005</v>
      </c>
      <c r="N7" s="85" t="s">
        <v>99</v>
      </c>
      <c r="O7" s="127">
        <v>500</v>
      </c>
      <c r="R7" s="119">
        <v>13</v>
      </c>
      <c r="S7" s="120">
        <v>0.5</v>
      </c>
    </row>
    <row r="8" spans="2:19" ht="15.5" thickBot="1" x14ac:dyDescent="0.9">
      <c r="B8" s="15">
        <v>1.26</v>
      </c>
      <c r="C8" s="16">
        <v>1.5</v>
      </c>
      <c r="D8" s="7">
        <v>0.77110000000000001</v>
      </c>
      <c r="E8" s="124">
        <v>8.1399999999999997E-3</v>
      </c>
      <c r="G8" s="77">
        <v>62</v>
      </c>
      <c r="H8" s="78">
        <v>0.85</v>
      </c>
      <c r="J8" s="11">
        <v>2019</v>
      </c>
      <c r="K8" s="24">
        <v>102.68</v>
      </c>
      <c r="L8" s="84">
        <f t="shared" si="0"/>
        <v>3466.7335000000007</v>
      </c>
      <c r="N8" s="85" t="s">
        <v>100</v>
      </c>
      <c r="O8" s="127">
        <f>O6-O7</f>
        <v>319</v>
      </c>
      <c r="R8" s="121">
        <v>26.1</v>
      </c>
      <c r="S8" s="122">
        <v>1</v>
      </c>
    </row>
    <row r="9" spans="2:19" x14ac:dyDescent="0.75">
      <c r="B9" s="15">
        <v>1.51</v>
      </c>
      <c r="C9" s="16">
        <v>1.75</v>
      </c>
      <c r="D9" s="7">
        <v>0.55179999999999996</v>
      </c>
      <c r="E9" s="124">
        <v>1.1780000000000002E-2</v>
      </c>
      <c r="G9" s="77">
        <v>63</v>
      </c>
      <c r="H9" s="78">
        <v>0.9</v>
      </c>
      <c r="J9" s="11">
        <v>2020</v>
      </c>
      <c r="K9" s="24">
        <v>123.22</v>
      </c>
      <c r="L9" s="84">
        <f t="shared" si="0"/>
        <v>4160.2152500000011</v>
      </c>
      <c r="O9" s="127">
        <v>52</v>
      </c>
    </row>
    <row r="10" spans="2:19" x14ac:dyDescent="0.75">
      <c r="B10" s="15">
        <v>1.76</v>
      </c>
      <c r="C10" s="16">
        <v>2</v>
      </c>
      <c r="D10" s="7">
        <v>0.49230000000000002</v>
      </c>
      <c r="E10" s="124">
        <v>1.43E-2</v>
      </c>
      <c r="G10" s="77">
        <v>64</v>
      </c>
      <c r="H10" s="78">
        <v>0.95</v>
      </c>
      <c r="J10" s="11">
        <v>2021</v>
      </c>
      <c r="K10" s="24">
        <v>141.69999999999999</v>
      </c>
      <c r="L10" s="84">
        <f t="shared" si="0"/>
        <v>4784.1462499999998</v>
      </c>
      <c r="O10" s="127">
        <f>TRUNC(O8/O9)</f>
        <v>6</v>
      </c>
    </row>
    <row r="11" spans="2:19" ht="15.5" thickBot="1" x14ac:dyDescent="0.9">
      <c r="B11" s="15">
        <v>2.0099999999999998</v>
      </c>
      <c r="C11" s="16">
        <v>2.25</v>
      </c>
      <c r="D11" s="7">
        <v>0.42670000000000002</v>
      </c>
      <c r="E11" s="124">
        <v>1.6150000000000001E-2</v>
      </c>
      <c r="G11" s="79">
        <v>65</v>
      </c>
      <c r="H11" s="80">
        <v>1</v>
      </c>
      <c r="J11" s="130">
        <v>2022</v>
      </c>
      <c r="K11" s="131">
        <v>172.87</v>
      </c>
      <c r="L11" s="132">
        <f t="shared" si="0"/>
        <v>5836.5233750000007</v>
      </c>
      <c r="O11" s="127">
        <v>52</v>
      </c>
    </row>
    <row r="12" spans="2:19" x14ac:dyDescent="0.75">
      <c r="B12" s="15">
        <v>2.2599999999999998</v>
      </c>
      <c r="C12" s="16">
        <v>2.5</v>
      </c>
      <c r="D12" s="7">
        <v>0.3765</v>
      </c>
      <c r="E12" s="124">
        <v>1.7559999999999999E-2</v>
      </c>
      <c r="J12" s="130">
        <v>2023</v>
      </c>
      <c r="K12" s="131">
        <v>207.44</v>
      </c>
      <c r="L12" s="132">
        <f>K12*365/12*1.11</f>
        <v>7003.6930000000011</v>
      </c>
      <c r="O12" s="127">
        <f>O10*O11</f>
        <v>312</v>
      </c>
    </row>
    <row r="13" spans="2:19" x14ac:dyDescent="0.75">
      <c r="B13" s="15">
        <v>2.5099999999999998</v>
      </c>
      <c r="C13" s="16">
        <v>2.75</v>
      </c>
      <c r="D13" s="7">
        <v>0.33679999999999999</v>
      </c>
      <c r="E13" s="124">
        <v>1.8679999999999999E-2</v>
      </c>
      <c r="O13" s="127"/>
    </row>
    <row r="14" spans="2:19" x14ac:dyDescent="0.75">
      <c r="B14" s="15">
        <v>2.76</v>
      </c>
      <c r="C14" s="16">
        <v>3</v>
      </c>
      <c r="D14" s="7">
        <v>0.30480000000000002</v>
      </c>
      <c r="E14" s="124">
        <v>1.958E-2</v>
      </c>
      <c r="O14" s="127">
        <f>O8</f>
        <v>319</v>
      </c>
    </row>
    <row r="15" spans="2:19" x14ac:dyDescent="0.75">
      <c r="B15" s="15">
        <v>3.01</v>
      </c>
      <c r="C15" s="16">
        <v>3.25</v>
      </c>
      <c r="D15" s="7">
        <v>0.27829999999999999</v>
      </c>
      <c r="E15" s="124">
        <v>2.0330000000000001E-2</v>
      </c>
      <c r="O15" s="127">
        <f>O12</f>
        <v>312</v>
      </c>
    </row>
    <row r="16" spans="2:19" x14ac:dyDescent="0.75">
      <c r="B16" s="15">
        <v>3.26</v>
      </c>
      <c r="C16" s="16">
        <v>3.5</v>
      </c>
      <c r="D16" s="7">
        <v>0.25600000000000001</v>
      </c>
      <c r="E16" s="124">
        <v>2.0959999999999999E-2</v>
      </c>
      <c r="O16" s="127">
        <f>O14-O15</f>
        <v>7</v>
      </c>
    </row>
    <row r="17" spans="2:15" x14ac:dyDescent="0.75">
      <c r="B17" s="15">
        <v>3.51</v>
      </c>
      <c r="C17" s="16">
        <v>3.75</v>
      </c>
      <c r="D17" s="7">
        <v>0.23699999999999999</v>
      </c>
      <c r="E17" s="124">
        <v>2.1489999999999999E-2</v>
      </c>
      <c r="O17" s="128">
        <f>VLOOKUP(O16,$R$6:$S$8,2)</f>
        <v>0</v>
      </c>
    </row>
    <row r="18" spans="2:15" x14ac:dyDescent="0.75">
      <c r="B18" s="15">
        <v>3.76</v>
      </c>
      <c r="C18" s="16">
        <v>4</v>
      </c>
      <c r="D18" s="7">
        <v>0.22070000000000001</v>
      </c>
      <c r="E18" s="124">
        <v>2.1950000000000004E-2</v>
      </c>
      <c r="O18" s="127"/>
    </row>
    <row r="19" spans="2:15" x14ac:dyDescent="0.75">
      <c r="B19" s="15">
        <v>4.01</v>
      </c>
      <c r="C19" s="16">
        <v>4.25</v>
      </c>
      <c r="D19" s="7">
        <v>0.20649999999999999</v>
      </c>
      <c r="E19" s="124">
        <v>2.2349999999999998E-2</v>
      </c>
      <c r="O19" s="129">
        <f>O10</f>
        <v>6</v>
      </c>
    </row>
    <row r="20" spans="2:15" x14ac:dyDescent="0.75">
      <c r="B20" s="17">
        <v>4.26</v>
      </c>
      <c r="C20" s="18">
        <v>4.5</v>
      </c>
      <c r="D20" s="7">
        <v>0.19389999999999999</v>
      </c>
      <c r="E20" s="124">
        <v>2.2709999999999998E-2</v>
      </c>
      <c r="O20" s="129">
        <f>O17</f>
        <v>0</v>
      </c>
    </row>
    <row r="21" spans="2:15" x14ac:dyDescent="0.75">
      <c r="B21" s="15">
        <v>4.51</v>
      </c>
      <c r="C21" s="16">
        <v>4.75</v>
      </c>
      <c r="D21" s="12">
        <v>0.18290000000000001</v>
      </c>
      <c r="E21" s="125">
        <v>2.3019999999999999E-2</v>
      </c>
      <c r="O21" s="129">
        <f>SUM(O19:O20)</f>
        <v>6</v>
      </c>
    </row>
    <row r="22" spans="2:15" x14ac:dyDescent="0.75">
      <c r="B22" s="15">
        <v>4.76</v>
      </c>
      <c r="C22" s="16">
        <v>5</v>
      </c>
      <c r="D22" s="7">
        <v>0.17299999999999999</v>
      </c>
      <c r="E22" s="124">
        <v>2.3300000000000001E-2</v>
      </c>
    </row>
    <row r="23" spans="2:15" x14ac:dyDescent="0.75">
      <c r="B23" s="15">
        <v>5.01</v>
      </c>
      <c r="C23" s="16">
        <v>5.25</v>
      </c>
      <c r="D23" s="7">
        <v>0.1641</v>
      </c>
      <c r="E23" s="124">
        <v>2.3550000000000001E-2</v>
      </c>
    </row>
    <row r="24" spans="2:15" x14ac:dyDescent="0.75">
      <c r="B24" s="15">
        <v>5.26</v>
      </c>
      <c r="C24" s="16">
        <v>5.5</v>
      </c>
      <c r="D24" s="7">
        <v>0.15609999999999999</v>
      </c>
      <c r="E24" s="124">
        <v>2.3769999999999999E-2</v>
      </c>
    </row>
    <row r="25" spans="2:15" x14ac:dyDescent="0.75">
      <c r="B25" s="15">
        <v>5.51</v>
      </c>
      <c r="C25" s="16">
        <v>5.75</v>
      </c>
      <c r="D25" s="7">
        <v>0.14879999999999999</v>
      </c>
      <c r="E25" s="124">
        <v>2.3980000000000001E-2</v>
      </c>
    </row>
    <row r="26" spans="2:15" x14ac:dyDescent="0.75">
      <c r="B26" s="15">
        <v>5.76</v>
      </c>
      <c r="C26" s="16">
        <v>6</v>
      </c>
      <c r="D26" s="7">
        <v>0.14219999999999999</v>
      </c>
      <c r="E26" s="124">
        <v>2.4160000000000001E-2</v>
      </c>
    </row>
    <row r="27" spans="2:15" x14ac:dyDescent="0.75">
      <c r="B27" s="107">
        <v>6.01</v>
      </c>
      <c r="C27" s="108">
        <v>6.01</v>
      </c>
      <c r="D27" s="7">
        <v>0.13619999999999999</v>
      </c>
      <c r="E27" s="124">
        <v>2.4330000000000004E-2</v>
      </c>
    </row>
    <row r="28" spans="2:15" ht="15.5" thickBot="1" x14ac:dyDescent="0.9">
      <c r="B28" s="19">
        <v>6.02</v>
      </c>
      <c r="C28" s="20">
        <v>99999999</v>
      </c>
      <c r="D28" s="9">
        <v>0.13</v>
      </c>
      <c r="E28" s="126">
        <v>2.4500000000000001E-2</v>
      </c>
    </row>
    <row r="34" spans="13:13" x14ac:dyDescent="0.75">
      <c r="M34" s="2">
        <f>26250*2</f>
        <v>52500</v>
      </c>
    </row>
  </sheetData>
  <sheetProtection algorithmName="SHA-512" hashValue="AHEAzlL9yR1sqi5UmyBFhOh868HZRoFi8BjNOJ5+ZCDquAZTSVpF7ohuANa4dZ733Tj5k0szwawld8bx1k9hMg==" saltValue="N8nZmtg5hPtrWOaLCcxh4g==" spinCount="100000" sheet="1" objects="1" scenarios="1"/>
  <mergeCells count="2">
    <mergeCell ref="B4:C4"/>
    <mergeCell ref="J4:L4"/>
  </mergeCells>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CE1935-E99C-41B1-AF24-8E9EE1D350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Hojas de cálculo</vt:lpstr>
      </vt:variant>
      <vt:variant>
        <vt:i4>5</vt:i4>
      </vt:variant>
      <vt:variant>
        <vt:lpstr>Gráficos</vt:lpstr>
      </vt:variant>
      <vt:variant>
        <vt:i4>1</vt:i4>
      </vt:variant>
      <vt:variant>
        <vt:lpstr>Rangos con nombre</vt:lpstr>
      </vt:variant>
      <vt:variant>
        <vt:i4>3</vt:i4>
      </vt:variant>
    </vt:vector>
  </HeadingPairs>
  <TitlesOfParts>
    <vt:vector size="9" baseType="lpstr">
      <vt:lpstr>Cálculo de Pensión</vt:lpstr>
      <vt:lpstr>Salario Promedio</vt:lpstr>
      <vt:lpstr>AmortizaciónPagos</vt:lpstr>
      <vt:lpstr>TblDePagosMod40</vt:lpstr>
      <vt:lpstr>TblISR</vt:lpstr>
      <vt:lpstr>Gráfico1</vt:lpstr>
      <vt:lpstr>AmortizaciónPagos!Área_de_impresión</vt:lpstr>
      <vt:lpstr>'Cálculo de Pensión'!Área_de_impresión</vt:lpstr>
      <vt:lpstr>'Salario Promedio'!Área_de_impresión</vt:lpstr>
    </vt:vector>
  </TitlesOfParts>
  <Manager>RGH</Manager>
  <Company>RGH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LEY73</dc:title>
  <dc:subject>SS</dc:subject>
  <dc:creator>RJGR</dc:creator>
  <cp:lastModifiedBy>Juan Carlos Espinosa Peña</cp:lastModifiedBy>
  <cp:lastPrinted>2023-01-16T12:13:25Z</cp:lastPrinted>
  <dcterms:created xsi:type="dcterms:W3CDTF">2014-01-24T17:26:07Z</dcterms:created>
  <dcterms:modified xsi:type="dcterms:W3CDTF">2026-01-22T03:59:11Z</dcterms:modified>
</cp:coreProperties>
</file>